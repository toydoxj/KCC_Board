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W:\내 드라이브\01 Project 진행중\KCC 경량벽체 소프트웨어 개발\"/>
    </mc:Choice>
  </mc:AlternateContent>
  <xr:revisionPtr revIDLastSave="0" documentId="13_ncr:1_{58BBCB2D-3994-464C-9927-205F44492353}" xr6:coauthVersionLast="47" xr6:coauthVersionMax="47" xr10:uidLastSave="{00000000-0000-0000-0000-000000000000}"/>
  <bookViews>
    <workbookView xWindow="-120" yWindow="-120" windowWidth="29040" windowHeight="15720" xr2:uid="{F288918B-5F98-46E1-BE35-FD45E6DF68D8}"/>
  </bookViews>
  <sheets>
    <sheet name="VAR." sheetId="9" r:id="rId1"/>
    <sheet name="Property_Gymsumboard" sheetId="5" r:id="rId2"/>
    <sheet name="SCREWBOLT " sheetId="8" r:id="rId3"/>
    <sheet name="Property_Stud" sheetId="6" r:id="rId4"/>
    <sheet name="Type" sheetId="7" r:id="rId5"/>
    <sheet name="단면성능" sheetId="10" r:id="rId6"/>
  </sheets>
  <externalReferences>
    <externalReference r:id="rId7"/>
  </externalReferences>
  <definedNames>
    <definedName name="A_bboard">[1]Variable!$H$9</definedName>
    <definedName name="A_board">[1]Variable!$G$9</definedName>
    <definedName name="A_bolt">[1]Variable!$L$4</definedName>
    <definedName name="A_stud">[1]Variable!$F$9</definedName>
    <definedName name="axial_allow">[1]Variable!$L$41</definedName>
    <definedName name="B_board">[1]Variable!$G$5</definedName>
    <definedName name="beta">[1]Variable!$L$36</definedName>
    <definedName name="buck_inplane">[1]Variable!$L$28</definedName>
    <definedName name="buck_torsion">[1]Variable!$L$40</definedName>
    <definedName name="buck_weak">[1]Variable!$L$34</definedName>
    <definedName name="cmBoard1">[1]Variable!$A$20</definedName>
    <definedName name="cmBoard2">[1]Variable!$A$21</definedName>
    <definedName name="cmBoard3">[1]Variable!$A$22</definedName>
    <definedName name="comp">[1]Variable!$L$10</definedName>
    <definedName name="couBOARD">[1]Variable!$C$12</definedName>
    <definedName name="Cw_stud">[1]Variable!$F$23</definedName>
    <definedName name="Db_comp">[1]Variable!$I$12</definedName>
    <definedName name="diaBOLT">[1]Variable!$C$12</definedName>
    <definedName name="Ds_comp">[1]Variable!$I$11</definedName>
    <definedName name="E_board">[1]Variable!$G$19</definedName>
    <definedName name="E_stud">[1]Variable!$F$19</definedName>
    <definedName name="Fy_bboard">[1]Variable!$H$18</definedName>
    <definedName name="Fy_board">[1]Variable!$G$18</definedName>
    <definedName name="Fy_bolt">[1]Variable!$L$3</definedName>
    <definedName name="Fy_stud">[1]Variable!$F$18</definedName>
    <definedName name="G_stud">[1]Variable!$F$20</definedName>
    <definedName name="H_board">[1]Variable!$G$4</definedName>
    <definedName name="H_stud">[1]Variable!$F$4</definedName>
    <definedName name="Ie_comp">[1]Variable!$L$11</definedName>
    <definedName name="Itr">[1]Variable!$I$13</definedName>
    <definedName name="Ix_stud">[1]Variable!$F$13</definedName>
    <definedName name="Iy_stud">[1]Variable!$F$14</definedName>
    <definedName name="J_stud">[1]Variable!$F$22</definedName>
    <definedName name="limDeflection">[1]Variable!$C$3</definedName>
    <definedName name="limLoad">[1]Variable!$C$4</definedName>
    <definedName name="LwithDeflection">[1]Variable!$F$30</definedName>
    <definedName name="LwithStress">[1]Variable!$F$29</definedName>
    <definedName name="moment_allow">[1]Variable!$I$33</definedName>
    <definedName name="moment_bboard">[1]Variable!$I$28</definedName>
    <definedName name="moment_board">[1]Variable!$I$27</definedName>
    <definedName name="moment_laterbuck">[1]Variable!$I$32</definedName>
    <definedName name="moment_stud">[1]Variable!$I$29</definedName>
    <definedName name="moment_yield">[1]Variable!$I$30</definedName>
    <definedName name="n_comp">[1]Variable!$I$20</definedName>
    <definedName name="p">[1]Variable!$F$26</definedName>
    <definedName name="_xlnm.Print_Area" localSheetId="3">Property_Stud!$A$1:$U$64</definedName>
    <definedName name="_xlnm.Print_Area" localSheetId="2">'SCREWBOLT '!$A$1:$U$28</definedName>
    <definedName name="_xlnm.Print_Area" localSheetId="4">Type!$A$1:$F$14</definedName>
    <definedName name="ramda">[1]Variable!$L$27</definedName>
    <definedName name="Ro_stud">[1]Variable!$F$17</definedName>
    <definedName name="Rx_stud">[1]Variable!$F$15</definedName>
    <definedName name="Ry_stud">[1]Variable!$F$16</definedName>
    <definedName name="S_stud">[1]Variable!$F$8</definedName>
    <definedName name="sigma_ex">[1]Variable!$L$30</definedName>
    <definedName name="sigma_ey">[1]Variable!$L$31</definedName>
    <definedName name="sigma_t">[1]Variable!$L$37</definedName>
    <definedName name="spcBOLT">[1]Variable!$C$9</definedName>
    <definedName name="spcLAT">[1]Variable!$C$18</definedName>
    <definedName name="spcSTUD">[1]Variable!$C$7</definedName>
    <definedName name="STUD_C_STUD">"단면성능!$B$42:$B$65"</definedName>
    <definedName name="STUD_CH_STUD">"단면성능!$B$16:$B$21"</definedName>
    <definedName name="STUD_CH_STUD_improved">"단면성능!$B$22:$B$27"</definedName>
    <definedName name="STUD_HR_STUD">"단면성능!$B$6:$B$9"</definedName>
    <definedName name="STUD_I_STUD">"단면성능!$B$28:$B$34"</definedName>
    <definedName name="STUD_MP_STUD">"단면성능!$B$35:$B$40"</definedName>
    <definedName name="STUD_R_STUD">"단면성능!$B$66:$B$69"</definedName>
    <definedName name="STUD_RV_STUD">"단면성능!$B$41:$B$41"</definedName>
    <definedName name="STUD_T_silent_STUD">"단면성능!$B$10:$B$15"</definedName>
    <definedName name="StudList">VAR.!$Q$1:$Q$30</definedName>
    <definedName name="tBoard1">[1]Variable!$C$20</definedName>
    <definedName name="tBoard2">[1]Variable!$C$21</definedName>
    <definedName name="tBoard3">[1]Variable!$C$22</definedName>
    <definedName name="tmpLength">[1]Variable!$F$33</definedName>
    <definedName name="typSTR">[1]Variable!$C$1</definedName>
    <definedName name="typSTUD">[1]Variable!$C$6</definedName>
    <definedName name="V_board">[1]Variable!$L$5</definedName>
    <definedName name="V_bolt">[1]Variable!$L$8</definedName>
    <definedName name="V_stud">[1]Variable!$L$6</definedName>
    <definedName name="w">[1]Variable!$F$27</definedName>
    <definedName name="W_board">[1]Variable!$G$21</definedName>
    <definedName name="W_stud">[1]Variable!$F$21</definedName>
    <definedName name="Xo_stud">[1]Variable!$F$12</definedName>
    <definedName name="Yt_comp">[1]Variable!$I$10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" i="9" l="1"/>
  <c r="G26" i="9"/>
  <c r="N13" i="9"/>
  <c r="M24" i="9" l="1"/>
  <c r="M25" i="9" s="1"/>
  <c r="L24" i="9"/>
  <c r="K24" i="9"/>
  <c r="C12" i="9"/>
  <c r="J18" i="9" s="1"/>
  <c r="C13" i="9"/>
  <c r="C14" i="9"/>
  <c r="C15" i="9"/>
  <c r="L25" i="9" l="1"/>
  <c r="K25" i="9" s="1"/>
  <c r="J5" i="9"/>
  <c r="J6" i="9"/>
  <c r="J10" i="9"/>
  <c r="G32" i="9" l="1"/>
  <c r="J12" i="9"/>
  <c r="J8" i="9"/>
  <c r="J9" i="9"/>
  <c r="Q1" i="9" l="1" a="1"/>
  <c r="Q1" i="9" s="1"/>
  <c r="B16" i="9" l="1"/>
  <c r="C16" i="9" s="1"/>
  <c r="B11" i="9"/>
  <c r="C11" i="9" s="1"/>
  <c r="B10" i="9"/>
  <c r="C10" i="9" s="1"/>
  <c r="B9" i="9"/>
  <c r="C9" i="9" s="1"/>
  <c r="B8" i="9"/>
  <c r="C8" i="9" s="1"/>
  <c r="B7" i="9"/>
  <c r="C7" i="9" s="1"/>
  <c r="B6" i="9"/>
  <c r="C6" i="9" s="1"/>
  <c r="B5" i="9"/>
  <c r="C5" i="9" s="1"/>
  <c r="B4" i="9"/>
  <c r="J14" i="9" l="1"/>
  <c r="L14" i="9"/>
  <c r="M14" i="9"/>
  <c r="K14" i="9"/>
  <c r="C36" i="9"/>
  <c r="C46" i="9" s="1"/>
  <c r="C40" i="9"/>
  <c r="M34" i="9" l="1"/>
  <c r="L34" i="9"/>
  <c r="K34" i="9"/>
  <c r="I34" i="9"/>
  <c r="G34" i="9"/>
  <c r="H34" i="9"/>
  <c r="M32" i="9" l="1"/>
  <c r="L32" i="9"/>
  <c r="K32" i="9"/>
  <c r="I32" i="9"/>
  <c r="H32" i="9"/>
  <c r="N55" i="5"/>
  <c r="M56" i="5"/>
  <c r="M55" i="5"/>
  <c r="N54" i="5"/>
  <c r="M54" i="5"/>
  <c r="M53" i="5"/>
  <c r="L53" i="5"/>
  <c r="M52" i="5"/>
  <c r="N52" i="5"/>
  <c r="O52" i="5"/>
  <c r="P51" i="5"/>
  <c r="O51" i="5"/>
  <c r="N51" i="5"/>
  <c r="M51" i="5"/>
  <c r="M50" i="5"/>
  <c r="L50" i="5"/>
  <c r="M49" i="5"/>
  <c r="L49" i="5"/>
  <c r="M48" i="5"/>
  <c r="N48" i="5"/>
  <c r="L48" i="5"/>
  <c r="L43" i="6" l="1"/>
  <c r="J43" i="6"/>
  <c r="H43" i="6"/>
  <c r="S47" i="6"/>
  <c r="Q47" i="6"/>
  <c r="P47" i="6"/>
  <c r="N47" i="6"/>
  <c r="O47" i="6" s="1"/>
  <c r="L47" i="6"/>
  <c r="J47" i="6"/>
  <c r="S46" i="6"/>
  <c r="Q46" i="6"/>
  <c r="P46" i="6"/>
  <c r="N46" i="6"/>
  <c r="O46" i="6" s="1"/>
  <c r="L46" i="6"/>
  <c r="J46" i="6"/>
  <c r="S45" i="6"/>
  <c r="Q45" i="6"/>
  <c r="P45" i="6"/>
  <c r="N45" i="6"/>
  <c r="O45" i="6" s="1"/>
  <c r="L45" i="6"/>
  <c r="J45" i="6"/>
  <c r="S44" i="6"/>
  <c r="Q44" i="6"/>
  <c r="P44" i="6"/>
  <c r="N44" i="6"/>
  <c r="R44" i="6" s="1"/>
  <c r="L44" i="6"/>
  <c r="J44" i="6"/>
  <c r="M30" i="6"/>
  <c r="L30" i="6"/>
  <c r="J30" i="6"/>
  <c r="H30" i="6"/>
  <c r="M27" i="6"/>
  <c r="L27" i="6"/>
  <c r="J27" i="6"/>
  <c r="H27" i="6"/>
  <c r="S9" i="6"/>
  <c r="Q9" i="6"/>
  <c r="P9" i="6"/>
  <c r="N9" i="6"/>
  <c r="R9" i="6" s="1"/>
  <c r="L9" i="6"/>
  <c r="J9" i="6"/>
  <c r="S8" i="6"/>
  <c r="Q8" i="6"/>
  <c r="P8" i="6"/>
  <c r="N8" i="6"/>
  <c r="R8" i="6" s="1"/>
  <c r="L8" i="6"/>
  <c r="J8" i="6"/>
  <c r="S25" i="6"/>
  <c r="Q25" i="6"/>
  <c r="P25" i="6"/>
  <c r="N25" i="6"/>
  <c r="R25" i="6" s="1"/>
  <c r="L25" i="6"/>
  <c r="J25" i="6"/>
  <c r="S24" i="6"/>
  <c r="Q24" i="6"/>
  <c r="P24" i="6"/>
  <c r="N24" i="6"/>
  <c r="R24" i="6" s="1"/>
  <c r="L24" i="6"/>
  <c r="J24" i="6"/>
  <c r="S17" i="6"/>
  <c r="Q17" i="6"/>
  <c r="P17" i="6"/>
  <c r="M17" i="6"/>
  <c r="I17" i="6"/>
  <c r="G17" i="6"/>
  <c r="N17" i="6" s="1"/>
  <c r="S14" i="6"/>
  <c r="Q14" i="6"/>
  <c r="P14" i="6"/>
  <c r="M14" i="6"/>
  <c r="I14" i="6"/>
  <c r="G14" i="6"/>
  <c r="N14" i="6" s="1"/>
  <c r="T44" i="6" l="1"/>
  <c r="U44" i="6"/>
  <c r="O44" i="6"/>
  <c r="R45" i="6"/>
  <c r="R47" i="6"/>
  <c r="R46" i="6"/>
  <c r="U8" i="6"/>
  <c r="T8" i="6"/>
  <c r="U9" i="6"/>
  <c r="T9" i="6"/>
  <c r="O9" i="6"/>
  <c r="O8" i="6"/>
  <c r="J14" i="6"/>
  <c r="U24" i="6"/>
  <c r="T24" i="6"/>
  <c r="U25" i="6"/>
  <c r="T25" i="6"/>
  <c r="O25" i="6"/>
  <c r="O24" i="6"/>
  <c r="J17" i="6"/>
  <c r="O17" i="6"/>
  <c r="K17" i="6"/>
  <c r="H17" i="6"/>
  <c r="O14" i="6"/>
  <c r="K14" i="6"/>
  <c r="H14" i="6"/>
  <c r="U45" i="6" l="1"/>
  <c r="T45" i="6"/>
  <c r="U46" i="6"/>
  <c r="T46" i="6"/>
  <c r="T47" i="6"/>
  <c r="U47" i="6"/>
  <c r="R17" i="6"/>
  <c r="L17" i="6"/>
  <c r="L14" i="6"/>
  <c r="R14" i="6"/>
  <c r="U17" i="6" l="1"/>
  <c r="T17" i="6"/>
  <c r="U14" i="6"/>
  <c r="T14" i="6"/>
  <c r="C4" i="9" l="1"/>
  <c r="N5" i="9" l="1"/>
  <c r="I14" i="9" l="1"/>
  <c r="H14" i="9"/>
  <c r="G14" i="9"/>
  <c r="H21" i="9"/>
  <c r="H23" i="9" s="1"/>
  <c r="G23" i="9"/>
  <c r="C29" i="9"/>
  <c r="K23" i="9"/>
  <c r="L23" i="9"/>
  <c r="M23" i="9"/>
  <c r="I23" i="9" l="1"/>
  <c r="J23" i="9"/>
  <c r="I35" i="9"/>
  <c r="H35" i="9"/>
  <c r="G35" i="9"/>
  <c r="M35" i="9"/>
  <c r="L35" i="9"/>
  <c r="K35" i="9"/>
  <c r="K6" i="9"/>
  <c r="N43" i="5"/>
  <c r="M44" i="5"/>
  <c r="M43" i="5"/>
  <c r="N42" i="5"/>
  <c r="M42" i="5"/>
  <c r="M41" i="5"/>
  <c r="L41" i="5"/>
  <c r="O40" i="5"/>
  <c r="N40" i="5"/>
  <c r="M40" i="5"/>
  <c r="P39" i="5"/>
  <c r="O39" i="5"/>
  <c r="N39" i="5"/>
  <c r="M39" i="5"/>
  <c r="M38" i="5"/>
  <c r="L38" i="5"/>
  <c r="M37" i="5"/>
  <c r="L37" i="5"/>
  <c r="N36" i="5"/>
  <c r="M36" i="5"/>
  <c r="L36" i="5"/>
  <c r="K7" i="9" l="1"/>
  <c r="L6" i="9"/>
  <c r="K12" i="9"/>
  <c r="K20" i="9"/>
  <c r="J16" i="9"/>
  <c r="C30" i="9"/>
  <c r="J20" i="9"/>
  <c r="J13" i="9"/>
  <c r="C23" i="9"/>
  <c r="M6" i="9"/>
  <c r="L26" i="9" l="1"/>
  <c r="K26" i="9"/>
  <c r="M12" i="9"/>
  <c r="M20" i="9"/>
  <c r="M7" i="9"/>
  <c r="K13" i="9"/>
  <c r="K11" i="9"/>
  <c r="L12" i="9"/>
  <c r="L20" i="9"/>
  <c r="L7" i="9"/>
  <c r="C31" i="9"/>
  <c r="I22" i="9" s="1"/>
  <c r="G6" i="9"/>
  <c r="G12" i="9" l="1"/>
  <c r="G20" i="9"/>
  <c r="G7" i="9"/>
  <c r="L13" i="9"/>
  <c r="L11" i="9"/>
  <c r="M11" i="9"/>
  <c r="M13" i="9"/>
  <c r="G22" i="9"/>
  <c r="H22" i="9"/>
  <c r="M22" i="9"/>
  <c r="K22" i="9"/>
  <c r="L22" i="9"/>
  <c r="M18" i="9"/>
  <c r="M10" i="9"/>
  <c r="M16" i="9" s="1"/>
  <c r="H6" i="9"/>
  <c r="H24" i="9" l="1"/>
  <c r="G24" i="9"/>
  <c r="G25" i="9" s="1"/>
  <c r="H12" i="9"/>
  <c r="H20" i="9"/>
  <c r="H7" i="9"/>
  <c r="H18" i="9" s="1"/>
  <c r="G11" i="9"/>
  <c r="G13" i="9"/>
  <c r="L18" i="9"/>
  <c r="L10" i="9"/>
  <c r="L16" i="9" s="1"/>
  <c r="K18" i="9"/>
  <c r="K10" i="9"/>
  <c r="K16" i="9" s="1"/>
  <c r="G18" i="9"/>
  <c r="G10" i="9"/>
  <c r="G16" i="9" s="1"/>
  <c r="I6" i="9"/>
  <c r="H25" i="9" l="1"/>
  <c r="I12" i="9"/>
  <c r="I20" i="9"/>
  <c r="I7" i="9"/>
  <c r="H11" i="9"/>
  <c r="H13" i="9"/>
  <c r="H10" i="9"/>
  <c r="N12" i="9"/>
  <c r="C37" i="9"/>
  <c r="C41" i="9" s="1"/>
  <c r="C43" i="9" s="1"/>
  <c r="H26" i="9" l="1"/>
  <c r="I11" i="9"/>
  <c r="I13" i="9"/>
  <c r="C48" i="9"/>
  <c r="C47" i="9"/>
  <c r="H16" i="9"/>
  <c r="I10" i="9"/>
  <c r="I16" i="9" s="1"/>
  <c r="I18" i="9"/>
  <c r="C3" i="9" l="1"/>
  <c r="N10" i="9"/>
  <c r="N15" i="9" s="1"/>
  <c r="I17" i="9" l="1"/>
  <c r="G17" i="9"/>
  <c r="G36" i="9" s="1"/>
  <c r="H17" i="9"/>
  <c r="H36" i="9" s="1"/>
  <c r="J17" i="9"/>
  <c r="L17" i="9"/>
  <c r="L36" i="9" s="1"/>
  <c r="M17" i="9"/>
  <c r="M36" i="9" s="1"/>
  <c r="K17" i="9"/>
  <c r="K36" i="9" s="1"/>
  <c r="K19" i="9"/>
  <c r="I19" i="9" l="1"/>
  <c r="H19" i="9"/>
  <c r="G19" i="9"/>
  <c r="M19" i="9"/>
  <c r="L19" i="9"/>
  <c r="J19" i="9"/>
  <c r="J28" i="9" l="1"/>
  <c r="J29" i="9"/>
  <c r="N19" i="9"/>
  <c r="J36" i="9" l="1"/>
  <c r="D5" i="8" l="1"/>
  <c r="D4" i="8"/>
  <c r="D3" i="8"/>
  <c r="D2" i="8"/>
  <c r="D32" i="5" l="1"/>
  <c r="E31" i="5"/>
  <c r="D31" i="5"/>
  <c r="E30" i="5"/>
  <c r="D30" i="5"/>
  <c r="D29" i="5"/>
  <c r="C29" i="5"/>
  <c r="E28" i="5"/>
  <c r="F28" i="5"/>
  <c r="D28" i="5"/>
  <c r="D26" i="5"/>
  <c r="C26" i="5"/>
  <c r="D25" i="5"/>
  <c r="C25" i="5"/>
  <c r="E24" i="5"/>
  <c r="D24" i="5"/>
  <c r="C24" i="5"/>
  <c r="L42" i="6" l="1"/>
  <c r="J42" i="6"/>
  <c r="H42" i="6"/>
  <c r="L41" i="6"/>
  <c r="J41" i="6"/>
  <c r="H41" i="6"/>
  <c r="L40" i="6"/>
  <c r="J40" i="6"/>
  <c r="H40" i="6"/>
  <c r="L39" i="6"/>
  <c r="J39" i="6"/>
  <c r="H39" i="6"/>
  <c r="Q38" i="6"/>
  <c r="L38" i="6"/>
  <c r="J38" i="6"/>
  <c r="H38" i="6"/>
  <c r="N37" i="6"/>
  <c r="L37" i="6"/>
  <c r="J37" i="6"/>
  <c r="H37" i="6"/>
  <c r="N36" i="6"/>
  <c r="L36" i="6"/>
  <c r="J36" i="6"/>
  <c r="H36" i="6"/>
  <c r="N35" i="6"/>
  <c r="L35" i="6"/>
  <c r="J35" i="6"/>
  <c r="H35" i="6"/>
  <c r="N34" i="6"/>
  <c r="L34" i="6"/>
  <c r="J34" i="6"/>
  <c r="H34" i="6"/>
  <c r="N33" i="6"/>
  <c r="L33" i="6"/>
  <c r="J33" i="6"/>
  <c r="H33" i="6"/>
  <c r="N32" i="6"/>
  <c r="L32" i="6"/>
  <c r="J32" i="6"/>
  <c r="H32" i="6"/>
  <c r="M31" i="6"/>
  <c r="L31" i="6"/>
  <c r="J31" i="6"/>
  <c r="H31" i="6"/>
  <c r="M29" i="6"/>
  <c r="L29" i="6"/>
  <c r="J29" i="6"/>
  <c r="H29" i="6"/>
  <c r="M28" i="6"/>
  <c r="L28" i="6"/>
  <c r="J28" i="6"/>
  <c r="H28" i="6"/>
  <c r="M26" i="6"/>
  <c r="L26" i="6"/>
  <c r="J26" i="6"/>
  <c r="H26" i="6"/>
  <c r="S23" i="6"/>
  <c r="Q23" i="6"/>
  <c r="P23" i="6"/>
  <c r="N23" i="6"/>
  <c r="O23" i="6" s="1"/>
  <c r="L23" i="6"/>
  <c r="J23" i="6"/>
  <c r="S22" i="6"/>
  <c r="Q22" i="6"/>
  <c r="P22" i="6"/>
  <c r="N22" i="6"/>
  <c r="O22" i="6" s="1"/>
  <c r="L22" i="6"/>
  <c r="J22" i="6"/>
  <c r="S21" i="6"/>
  <c r="Q21" i="6"/>
  <c r="P21" i="6"/>
  <c r="N21" i="6"/>
  <c r="O21" i="6" s="1"/>
  <c r="L21" i="6"/>
  <c r="J21" i="6"/>
  <c r="S20" i="6"/>
  <c r="Q20" i="6"/>
  <c r="P20" i="6"/>
  <c r="N20" i="6"/>
  <c r="R20" i="6" s="1"/>
  <c r="L20" i="6"/>
  <c r="J20" i="6"/>
  <c r="S19" i="6"/>
  <c r="Q19" i="6"/>
  <c r="P19" i="6"/>
  <c r="N19" i="6"/>
  <c r="O19" i="6" s="1"/>
  <c r="L19" i="6"/>
  <c r="J19" i="6"/>
  <c r="S18" i="6"/>
  <c r="Q18" i="6"/>
  <c r="P18" i="6"/>
  <c r="N18" i="6"/>
  <c r="R18" i="6" s="1"/>
  <c r="L18" i="6"/>
  <c r="J18" i="6"/>
  <c r="S16" i="6"/>
  <c r="Q16" i="6"/>
  <c r="P16" i="6"/>
  <c r="M16" i="6"/>
  <c r="I16" i="6"/>
  <c r="G16" i="6"/>
  <c r="H16" i="6" s="1"/>
  <c r="S15" i="6"/>
  <c r="Q15" i="6"/>
  <c r="P15" i="6"/>
  <c r="M15" i="6"/>
  <c r="I15" i="6"/>
  <c r="G15" i="6"/>
  <c r="H15" i="6" s="1"/>
  <c r="S13" i="6"/>
  <c r="Q13" i="6"/>
  <c r="P13" i="6"/>
  <c r="N13" i="6"/>
  <c r="O13" i="6" s="1"/>
  <c r="L13" i="6"/>
  <c r="J13" i="6"/>
  <c r="S12" i="6"/>
  <c r="Q12" i="6"/>
  <c r="P12" i="6"/>
  <c r="N12" i="6"/>
  <c r="O12" i="6" s="1"/>
  <c r="L12" i="6"/>
  <c r="J12" i="6"/>
  <c r="S11" i="6"/>
  <c r="Q11" i="6"/>
  <c r="P11" i="6"/>
  <c r="N11" i="6"/>
  <c r="O11" i="6" s="1"/>
  <c r="L11" i="6"/>
  <c r="J11" i="6"/>
  <c r="S10" i="6"/>
  <c r="Q10" i="6"/>
  <c r="P10" i="6"/>
  <c r="N10" i="6"/>
  <c r="R10" i="6" s="1"/>
  <c r="L10" i="6"/>
  <c r="J10" i="6"/>
  <c r="S7" i="6"/>
  <c r="Q7" i="6"/>
  <c r="P7" i="6"/>
  <c r="N7" i="6"/>
  <c r="O7" i="6" s="1"/>
  <c r="L7" i="6"/>
  <c r="J7" i="6"/>
  <c r="S6" i="6"/>
  <c r="Q6" i="6"/>
  <c r="P6" i="6"/>
  <c r="N6" i="6"/>
  <c r="O6" i="6" s="1"/>
  <c r="L6" i="6"/>
  <c r="J6" i="6"/>
  <c r="S5" i="6"/>
  <c r="Q5" i="6"/>
  <c r="P5" i="6"/>
  <c r="N5" i="6"/>
  <c r="O5" i="6" s="1"/>
  <c r="L5" i="6"/>
  <c r="J5" i="6"/>
  <c r="S4" i="6"/>
  <c r="Q4" i="6"/>
  <c r="P4" i="6"/>
  <c r="N4" i="6"/>
  <c r="R4" i="6" s="1"/>
  <c r="L4" i="6"/>
  <c r="J4" i="6"/>
  <c r="S3" i="6"/>
  <c r="Q3" i="6"/>
  <c r="P3" i="6"/>
  <c r="N3" i="6"/>
  <c r="R3" i="6" s="1"/>
  <c r="L3" i="6"/>
  <c r="J3" i="6"/>
  <c r="S2" i="6"/>
  <c r="Q2" i="6"/>
  <c r="P2" i="6"/>
  <c r="N2" i="6"/>
  <c r="O2" i="6" s="1"/>
  <c r="L2" i="6"/>
  <c r="J2" i="6"/>
  <c r="M6" i="5"/>
  <c r="L6" i="5"/>
  <c r="K6" i="5"/>
  <c r="M5" i="5"/>
  <c r="L5" i="5"/>
  <c r="K5" i="5"/>
  <c r="M4" i="5"/>
  <c r="L4" i="5"/>
  <c r="K4" i="5"/>
  <c r="M3" i="5"/>
  <c r="L3" i="5"/>
  <c r="K3" i="5"/>
  <c r="R23" i="6" l="1"/>
  <c r="T23" i="6" s="1"/>
  <c r="R12" i="6"/>
  <c r="U12" i="6" s="1"/>
  <c r="R2" i="6"/>
  <c r="U2" i="6" s="1"/>
  <c r="R21" i="6"/>
  <c r="T21" i="6" s="1"/>
  <c r="R11" i="6"/>
  <c r="U11" i="6" s="1"/>
  <c r="R5" i="6"/>
  <c r="T5" i="6" s="1"/>
  <c r="N15" i="6"/>
  <c r="K15" i="6" s="1"/>
  <c r="J16" i="6"/>
  <c r="J15" i="6"/>
  <c r="R19" i="6"/>
  <c r="T19" i="6" s="1"/>
  <c r="R6" i="6"/>
  <c r="T6" i="6" s="1"/>
  <c r="T10" i="6"/>
  <c r="U10" i="6"/>
  <c r="U18" i="6"/>
  <c r="T18" i="6"/>
  <c r="U3" i="6"/>
  <c r="T3" i="6"/>
  <c r="R15" i="6"/>
  <c r="L15" i="6"/>
  <c r="T20" i="6"/>
  <c r="U20" i="6"/>
  <c r="T4" i="6"/>
  <c r="U4" i="6"/>
  <c r="T11" i="6"/>
  <c r="U23" i="6"/>
  <c r="O3" i="6"/>
  <c r="O10" i="6"/>
  <c r="O20" i="6"/>
  <c r="R7" i="6"/>
  <c r="R13" i="6"/>
  <c r="R22" i="6"/>
  <c r="T12" i="6"/>
  <c r="N16" i="6"/>
  <c r="O4" i="6"/>
  <c r="O18" i="6"/>
  <c r="O15" i="6" l="1"/>
  <c r="U6" i="6"/>
  <c r="U5" i="6"/>
  <c r="U19" i="6"/>
  <c r="T2" i="6"/>
  <c r="U21" i="6"/>
  <c r="U7" i="6"/>
  <c r="T7" i="6"/>
  <c r="U15" i="6"/>
  <c r="T15" i="6"/>
  <c r="O16" i="6"/>
  <c r="K16" i="6"/>
  <c r="U22" i="6"/>
  <c r="T22" i="6"/>
  <c r="U13" i="6"/>
  <c r="T13" i="6"/>
  <c r="R16" i="6" l="1"/>
  <c r="L16" i="6"/>
  <c r="U16" i="6" l="1"/>
  <c r="T16" i="6"/>
  <c r="I24" i="9" l="1"/>
  <c r="I25" i="9" s="1"/>
  <c r="I26" i="9" l="1"/>
  <c r="I36" i="9"/>
  <c r="N26" i="9"/>
  <c r="N27" i="9" s="1"/>
  <c r="N36" i="9"/>
  <c r="C21" i="9" s="1"/>
  <c r="C25" i="9" s="1"/>
  <c r="S26" i="9" l="1"/>
  <c r="C22" i="9" s="1"/>
  <c r="C24" i="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<sst xmlns="http://schemas.openxmlformats.org/spreadsheetml/2006/main" count="494" uniqueCount="308">
  <si>
    <t>-</t>
    <phoneticPr fontId="2" type="noConversion"/>
  </si>
  <si>
    <t>강도</t>
    <phoneticPr fontId="7" type="noConversion"/>
  </si>
  <si>
    <t>비중</t>
    <phoneticPr fontId="7" type="noConversion"/>
  </si>
  <si>
    <t>일반/방수/방음</t>
    <phoneticPr fontId="7" type="noConversion"/>
  </si>
  <si>
    <t>전방수</t>
    <phoneticPr fontId="7" type="noConversion"/>
  </si>
  <si>
    <t>방화 또는 방화방수</t>
    <phoneticPr fontId="7" type="noConversion"/>
  </si>
  <si>
    <t>고강도</t>
    <phoneticPr fontId="7" type="noConversion"/>
  </si>
  <si>
    <t>----</t>
    <phoneticPr fontId="7" type="noConversion"/>
  </si>
  <si>
    <t>탄성계수</t>
    <phoneticPr fontId="7" type="noConversion"/>
  </si>
  <si>
    <t>폭(b)</t>
    <phoneticPr fontId="2" type="noConversion"/>
  </si>
  <si>
    <t>높이(h)</t>
    <phoneticPr fontId="2" type="noConversion"/>
  </si>
  <si>
    <t>립높이(a)</t>
    <phoneticPr fontId="2" type="noConversion"/>
  </si>
  <si>
    <t>두께(t)</t>
    <phoneticPr fontId="2" type="noConversion"/>
  </si>
  <si>
    <t>단면적</t>
    <phoneticPr fontId="2" type="noConversion"/>
  </si>
  <si>
    <t>단위중량</t>
    <phoneticPr fontId="2" type="noConversion"/>
  </si>
  <si>
    <t>Ixx</t>
    <phoneticPr fontId="2" type="noConversion"/>
  </si>
  <si>
    <t>Rx</t>
    <phoneticPr fontId="2" type="noConversion"/>
  </si>
  <si>
    <t>Iyy</t>
    <phoneticPr fontId="2" type="noConversion"/>
  </si>
  <si>
    <t>Ry</t>
    <phoneticPr fontId="2" type="noConversion"/>
  </si>
  <si>
    <t>Ycg</t>
    <phoneticPr fontId="2" type="noConversion"/>
  </si>
  <si>
    <t>Xcg</t>
    <phoneticPr fontId="2" type="noConversion"/>
  </si>
  <si>
    <t>전단중심</t>
    <phoneticPr fontId="2" type="noConversion"/>
  </si>
  <si>
    <t>비틀림상수</t>
    <phoneticPr fontId="2" type="noConversion"/>
  </si>
  <si>
    <t>뒤틀림상수</t>
    <phoneticPr fontId="2" type="noConversion"/>
  </si>
  <si>
    <t>Ry</t>
    <phoneticPr fontId="7" type="noConversion"/>
  </si>
  <si>
    <t>C-STUD</t>
    <phoneticPr fontId="1" type="noConversion"/>
  </si>
  <si>
    <t>50S45-08</t>
    <phoneticPr fontId="7" type="noConversion"/>
  </si>
  <si>
    <t>50S45-10</t>
    <phoneticPr fontId="7" type="noConversion"/>
  </si>
  <si>
    <t>65S45-08</t>
    <phoneticPr fontId="7" type="noConversion"/>
  </si>
  <si>
    <t>65S45-10</t>
    <phoneticPr fontId="7" type="noConversion"/>
  </si>
  <si>
    <t>75S45-08</t>
    <phoneticPr fontId="7" type="noConversion"/>
  </si>
  <si>
    <t>75S45-10</t>
    <phoneticPr fontId="7" type="noConversion"/>
  </si>
  <si>
    <t>90S45-08</t>
    <phoneticPr fontId="7" type="noConversion"/>
  </si>
  <si>
    <t>90S45-10</t>
    <phoneticPr fontId="7" type="noConversion"/>
  </si>
  <si>
    <t>100S45-08</t>
    <phoneticPr fontId="7" type="noConversion"/>
  </si>
  <si>
    <t>100S45-10</t>
    <phoneticPr fontId="7" type="noConversion"/>
  </si>
  <si>
    <t>110S45-08</t>
    <phoneticPr fontId="7" type="noConversion"/>
  </si>
  <si>
    <t>120S45-08</t>
    <phoneticPr fontId="7" type="noConversion"/>
  </si>
  <si>
    <t>125S45-08</t>
    <phoneticPr fontId="7" type="noConversion"/>
  </si>
  <si>
    <t>125S45-10</t>
    <phoneticPr fontId="7" type="noConversion"/>
  </si>
  <si>
    <t>140S45-08</t>
    <phoneticPr fontId="7" type="noConversion"/>
  </si>
  <si>
    <t>140S45-10</t>
    <phoneticPr fontId="7" type="noConversion"/>
  </si>
  <si>
    <t>150S45-08</t>
    <phoneticPr fontId="7" type="noConversion"/>
  </si>
  <si>
    <t>150S45-10</t>
    <phoneticPr fontId="7" type="noConversion"/>
  </si>
  <si>
    <t>MP-STUD</t>
    <phoneticPr fontId="1" type="noConversion"/>
  </si>
  <si>
    <t>MP-74</t>
    <phoneticPr fontId="7" type="noConversion"/>
  </si>
  <si>
    <t>MP-100</t>
    <phoneticPr fontId="7" type="noConversion"/>
  </si>
  <si>
    <t>MP-124</t>
    <phoneticPr fontId="7" type="noConversion"/>
  </si>
  <si>
    <t>MP-150</t>
    <phoneticPr fontId="7" type="noConversion"/>
  </si>
  <si>
    <t>CH-STUD</t>
    <phoneticPr fontId="1" type="noConversion"/>
  </si>
  <si>
    <t>64CHS-08</t>
  </si>
  <si>
    <t>75CHS-08</t>
  </si>
  <si>
    <t>92CHS-08</t>
  </si>
  <si>
    <t>102CHS-08</t>
  </si>
  <si>
    <t>127CHS-08</t>
    <phoneticPr fontId="7" type="noConversion"/>
  </si>
  <si>
    <t>152CHS-08</t>
  </si>
  <si>
    <t>T.Silent</t>
    <phoneticPr fontId="1" type="noConversion"/>
  </si>
  <si>
    <t>SQ-STUD</t>
    <phoneticPr fontId="1" type="noConversion"/>
  </si>
  <si>
    <t>기본</t>
    <phoneticPr fontId="1" type="noConversion"/>
  </si>
  <si>
    <t>겹침</t>
    <phoneticPr fontId="1" type="noConversion"/>
  </si>
  <si>
    <t>맞댐이음</t>
    <phoneticPr fontId="1" type="noConversion"/>
  </si>
  <si>
    <t>이중스터드</t>
    <phoneticPr fontId="1" type="noConversion"/>
  </si>
  <si>
    <t>SH-STUD</t>
    <phoneticPr fontId="1" type="noConversion"/>
  </si>
  <si>
    <t>R.STUD</t>
    <phoneticPr fontId="1" type="noConversion"/>
  </si>
  <si>
    <t>T.silent-STUD</t>
    <phoneticPr fontId="1" type="noConversion"/>
  </si>
  <si>
    <t>MP-STUD(V-brace)</t>
    <phoneticPr fontId="1" type="noConversion"/>
  </si>
  <si>
    <t>AC-STUD</t>
    <phoneticPr fontId="1" type="noConversion"/>
  </si>
  <si>
    <t>HR-STUD</t>
    <phoneticPr fontId="1" type="noConversion"/>
  </si>
  <si>
    <t>일반</t>
    <phoneticPr fontId="1" type="noConversion"/>
  </si>
  <si>
    <t>방수</t>
    <phoneticPr fontId="1" type="noConversion"/>
  </si>
  <si>
    <t>방균</t>
    <phoneticPr fontId="1" type="noConversion"/>
  </si>
  <si>
    <t>방화방수</t>
    <phoneticPr fontId="1" type="noConversion"/>
  </si>
  <si>
    <t>방화</t>
    <phoneticPr fontId="1" type="noConversion"/>
  </si>
  <si>
    <t>차음</t>
    <phoneticPr fontId="1" type="noConversion"/>
  </si>
  <si>
    <t>고강도일반</t>
    <phoneticPr fontId="1" type="noConversion"/>
  </si>
  <si>
    <t>전방수</t>
    <phoneticPr fontId="1" type="noConversion"/>
  </si>
  <si>
    <t>고강도전방수</t>
    <phoneticPr fontId="1" type="noConversion"/>
  </si>
  <si>
    <t>파괴강도</t>
    <phoneticPr fontId="1" type="noConversion"/>
  </si>
  <si>
    <t>질량</t>
    <phoneticPr fontId="1" type="noConversion"/>
  </si>
  <si>
    <t>6061-T6</t>
    <phoneticPr fontId="7" type="noConversion"/>
  </si>
  <si>
    <t>6063-T5</t>
    <phoneticPr fontId="7" type="noConversion"/>
  </si>
  <si>
    <t>6063-T6</t>
    <phoneticPr fontId="7" type="noConversion"/>
  </si>
  <si>
    <t>STS304</t>
    <phoneticPr fontId="7" type="noConversion"/>
  </si>
  <si>
    <t>STS316</t>
    <phoneticPr fontId="7" type="noConversion"/>
  </si>
  <si>
    <t>SS400</t>
    <phoneticPr fontId="7" type="noConversion"/>
  </si>
  <si>
    <t>SM490</t>
    <phoneticPr fontId="7" type="noConversion"/>
  </si>
  <si>
    <t>2024-T4</t>
    <phoneticPr fontId="7" type="noConversion"/>
  </si>
  <si>
    <t>7075-T73</t>
    <phoneticPr fontId="7" type="noConversion"/>
  </si>
  <si>
    <r>
      <t>2Ø</t>
    </r>
    <r>
      <rPr>
        <vertAlign val="subscript"/>
        <sz val="8"/>
        <rFont val="Arial"/>
        <family val="2"/>
      </rPr>
      <t>u</t>
    </r>
    <r>
      <rPr>
        <sz val="8"/>
        <rFont val="Arial"/>
        <family val="2"/>
      </rPr>
      <t>·F</t>
    </r>
    <r>
      <rPr>
        <vertAlign val="subscript"/>
        <sz val="8"/>
        <rFont val="Arial"/>
        <family val="2"/>
      </rPr>
      <t>tu1</t>
    </r>
    <r>
      <rPr>
        <sz val="8"/>
        <rFont val="Arial"/>
        <family val="2"/>
      </rPr>
      <t>·D·T</t>
    </r>
    <r>
      <rPr>
        <vertAlign val="subscript"/>
        <sz val="8"/>
        <rFont val="Arial"/>
        <family val="2"/>
      </rPr>
      <t xml:space="preserve">1 </t>
    </r>
    <r>
      <rPr>
        <sz val="8"/>
        <rFont val="Arial"/>
        <family val="2"/>
      </rPr>
      <t>=</t>
    </r>
    <phoneticPr fontId="7" type="noConversion"/>
  </si>
  <si>
    <r>
      <t>2Ø</t>
    </r>
    <r>
      <rPr>
        <vertAlign val="subscript"/>
        <sz val="8"/>
        <rFont val="Arial"/>
        <family val="2"/>
      </rPr>
      <t>u</t>
    </r>
    <r>
      <rPr>
        <sz val="8"/>
        <rFont val="Arial"/>
        <family val="2"/>
      </rPr>
      <t>·F</t>
    </r>
    <r>
      <rPr>
        <vertAlign val="subscript"/>
        <sz val="8"/>
        <rFont val="Arial"/>
        <family val="2"/>
      </rPr>
      <t>tu2</t>
    </r>
    <r>
      <rPr>
        <sz val="8"/>
        <rFont val="Arial"/>
        <family val="2"/>
      </rPr>
      <t>·D·T</t>
    </r>
    <r>
      <rPr>
        <vertAlign val="subscript"/>
        <sz val="8"/>
        <rFont val="Arial"/>
        <family val="2"/>
      </rPr>
      <t xml:space="preserve">2 </t>
    </r>
    <r>
      <rPr>
        <sz val="8"/>
        <rFont val="Arial"/>
        <family val="2"/>
      </rPr>
      <t>=</t>
    </r>
    <phoneticPr fontId="7" type="noConversion"/>
  </si>
  <si>
    <r>
      <t>4.2(T</t>
    </r>
    <r>
      <rPr>
        <vertAlign val="subscript"/>
        <sz val="8"/>
        <rFont val="Arial"/>
        <family val="2"/>
      </rPr>
      <t>2</t>
    </r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>·D)</t>
    </r>
    <r>
      <rPr>
        <vertAlign val="superscript"/>
        <sz val="8"/>
        <rFont val="Arial"/>
        <family val="2"/>
      </rPr>
      <t>1/2</t>
    </r>
    <r>
      <rPr>
        <sz val="8"/>
        <rFont val="Arial"/>
        <family val="2"/>
      </rPr>
      <t>Ø</t>
    </r>
    <r>
      <rPr>
        <vertAlign val="subscript"/>
        <sz val="8"/>
        <rFont val="Arial"/>
        <family val="2"/>
      </rPr>
      <t>sc</t>
    </r>
    <r>
      <rPr>
        <sz val="8"/>
        <rFont val="Arial"/>
        <family val="2"/>
      </rPr>
      <t>·F</t>
    </r>
    <r>
      <rPr>
        <vertAlign val="subscript"/>
        <sz val="8"/>
        <rFont val="Arial"/>
        <family val="2"/>
      </rPr>
      <t xml:space="preserve">tu2  </t>
    </r>
    <r>
      <rPr>
        <sz val="8"/>
        <rFont val="Arial"/>
        <family val="2"/>
      </rPr>
      <t>=</t>
    </r>
    <phoneticPr fontId="7" type="noConversion"/>
  </si>
  <si>
    <r>
      <t>Ø</t>
    </r>
    <r>
      <rPr>
        <vertAlign val="subscript"/>
        <sz val="8"/>
        <rFont val="Arial"/>
        <family val="2"/>
      </rPr>
      <t>sc</t>
    </r>
    <r>
      <rPr>
        <sz val="8"/>
        <rFont val="Arial"/>
        <family val="2"/>
      </rPr>
      <t>·P</t>
    </r>
    <r>
      <rPr>
        <vertAlign val="subscript"/>
        <sz val="8"/>
        <rFont val="Arial"/>
        <family val="2"/>
      </rPr>
      <t xml:space="preserve">ns </t>
    </r>
    <r>
      <rPr>
        <sz val="8"/>
        <rFont val="Arial"/>
        <family val="2"/>
      </rPr>
      <t>/ 1.25 =</t>
    </r>
    <phoneticPr fontId="7" type="noConversion"/>
  </si>
  <si>
    <t>탄성계수</t>
    <phoneticPr fontId="1" type="noConversion"/>
  </si>
  <si>
    <t>파괴응력 검토</t>
    <phoneticPr fontId="1" type="noConversion"/>
  </si>
  <si>
    <t>항복강도</t>
    <phoneticPr fontId="1" type="noConversion"/>
  </si>
  <si>
    <t>기본하중</t>
    <phoneticPr fontId="2" type="noConversion"/>
  </si>
  <si>
    <t>하중(kg/m2)</t>
    <phoneticPr fontId="2" type="noConversion"/>
  </si>
  <si>
    <t>구분</t>
    <phoneticPr fontId="2" type="noConversion"/>
  </si>
  <si>
    <t>스터드</t>
    <phoneticPr fontId="7" type="noConversion"/>
  </si>
  <si>
    <t>석고보드(전면)</t>
    <phoneticPr fontId="7" type="noConversion"/>
  </si>
  <si>
    <t>석고보드(후면)</t>
    <phoneticPr fontId="7" type="noConversion"/>
  </si>
  <si>
    <t>합성단면</t>
    <phoneticPr fontId="7" type="noConversion"/>
  </si>
  <si>
    <t>종류</t>
    <phoneticPr fontId="2" type="noConversion"/>
  </si>
  <si>
    <t>높이(mm)</t>
    <phoneticPr fontId="2" type="noConversion"/>
  </si>
  <si>
    <t>폭(mm)</t>
    <phoneticPr fontId="2" type="noConversion"/>
  </si>
  <si>
    <t>유효폭</t>
    <phoneticPr fontId="2" type="noConversion"/>
  </si>
  <si>
    <t>Mu(kN-m)</t>
    <phoneticPr fontId="2" type="noConversion"/>
  </si>
  <si>
    <t>두께</t>
    <phoneticPr fontId="2" type="noConversion"/>
  </si>
  <si>
    <t>제한조건</t>
    <phoneticPr fontId="2" type="noConversion"/>
  </si>
  <si>
    <t>처짐제한(1/L)</t>
    <phoneticPr fontId="2" type="noConversion"/>
  </si>
  <si>
    <t>리브</t>
    <phoneticPr fontId="2" type="noConversion"/>
  </si>
  <si>
    <t>환산단면적</t>
    <phoneticPr fontId="2" type="noConversion"/>
  </si>
  <si>
    <t>지지길이(mm)</t>
    <phoneticPr fontId="2" type="noConversion"/>
  </si>
  <si>
    <t>비중(kg/m3)</t>
    <phoneticPr fontId="2" type="noConversion"/>
  </si>
  <si>
    <t>단위중량(kN/m)</t>
    <phoneticPr fontId="2" type="noConversion"/>
  </si>
  <si>
    <t>총중량(kN)</t>
    <phoneticPr fontId="2" type="noConversion"/>
  </si>
  <si>
    <t>ΩMu / Mn</t>
    <phoneticPr fontId="2" type="noConversion"/>
  </si>
  <si>
    <t>Deflection</t>
    <phoneticPr fontId="2" type="noConversion"/>
  </si>
  <si>
    <t>중립축높이(mm)</t>
    <phoneticPr fontId="2" type="noConversion"/>
  </si>
  <si>
    <t>단면적 x 중립축 거리</t>
    <phoneticPr fontId="2" type="noConversion"/>
  </si>
  <si>
    <t>1/L</t>
    <phoneticPr fontId="2" type="noConversion"/>
  </si>
  <si>
    <t xml:space="preserve">처짐 </t>
    <phoneticPr fontId="2" type="noConversion"/>
  </si>
  <si>
    <t>단면2차모멘트</t>
    <phoneticPr fontId="2" type="noConversion"/>
  </si>
  <si>
    <t>개별</t>
    <phoneticPr fontId="2" type="noConversion"/>
  </si>
  <si>
    <t>응력</t>
    <phoneticPr fontId="2" type="noConversion"/>
  </si>
  <si>
    <t>중립축이동</t>
    <phoneticPr fontId="2" type="noConversion"/>
  </si>
  <si>
    <t>유효단면2차모멘트</t>
    <phoneticPr fontId="2" type="noConversion"/>
  </si>
  <si>
    <t>합성률 고려</t>
    <phoneticPr fontId="2" type="noConversion"/>
  </si>
  <si>
    <t>단면계수(상단)</t>
    <phoneticPr fontId="2" type="noConversion"/>
  </si>
  <si>
    <t>단면계수(하단)</t>
    <phoneticPr fontId="2" type="noConversion"/>
  </si>
  <si>
    <t>공칭 휨강도 산정</t>
    <phoneticPr fontId="2" type="noConversion"/>
  </si>
  <si>
    <t>항복강도(Fy)</t>
    <phoneticPr fontId="2" type="noConversion"/>
  </si>
  <si>
    <r>
      <t>탄성계수</t>
    </r>
    <r>
      <rPr>
        <sz val="9"/>
        <color theme="1"/>
        <rFont val="맑은 고딕"/>
        <family val="2"/>
        <charset val="129"/>
        <scheme val="minor"/>
      </rPr>
      <t>(</t>
    </r>
    <r>
      <rPr>
        <sz val="9"/>
        <color theme="1"/>
        <rFont val="맑은 고딕"/>
        <family val="2"/>
        <charset val="129"/>
        <scheme val="minor"/>
      </rPr>
      <t>E)</t>
    </r>
    <phoneticPr fontId="2" type="noConversion"/>
  </si>
  <si>
    <t>탄성계수비(n)</t>
    <phoneticPr fontId="2" type="noConversion"/>
  </si>
  <si>
    <t>축파괴강도(kN)</t>
    <phoneticPr fontId="1" type="noConversion"/>
  </si>
  <si>
    <t>연결볼트 개수</t>
    <phoneticPr fontId="1" type="noConversion"/>
  </si>
  <si>
    <t>볼트지름</t>
    <phoneticPr fontId="2" type="noConversion"/>
  </si>
  <si>
    <t>볼트항복강도</t>
    <phoneticPr fontId="2" type="noConversion"/>
  </si>
  <si>
    <t>볼트파단강도</t>
    <phoneticPr fontId="2" type="noConversion"/>
  </si>
  <si>
    <t>볼트전단강도</t>
    <phoneticPr fontId="2" type="noConversion"/>
  </si>
  <si>
    <t>연결면 전단(볼트)</t>
    <phoneticPr fontId="1" type="noConversion"/>
  </si>
  <si>
    <t>볼트강도(개당,N)</t>
    <phoneticPr fontId="2" type="noConversion"/>
  </si>
  <si>
    <t>인장강도(Fu)</t>
    <phoneticPr fontId="1" type="noConversion"/>
  </si>
  <si>
    <t>연결면 전단강도(kN)</t>
    <phoneticPr fontId="1" type="noConversion"/>
  </si>
  <si>
    <t>연결면 지압(N)</t>
    <phoneticPr fontId="1" type="noConversion"/>
  </si>
  <si>
    <t>중립축이동거리(mm)</t>
    <phoneticPr fontId="2" type="noConversion"/>
  </si>
  <si>
    <t>하단에서의 중립축거리</t>
    <phoneticPr fontId="2" type="noConversion"/>
  </si>
  <si>
    <r>
      <rPr>
        <sz val="11"/>
        <color theme="1"/>
        <rFont val="맑은 고딕"/>
        <family val="3"/>
        <charset val="129"/>
      </rPr>
      <t>합성률(</t>
    </r>
    <r>
      <rPr>
        <sz val="11"/>
        <color theme="1"/>
        <rFont val="Calibri"/>
        <family val="3"/>
        <charset val="161"/>
      </rPr>
      <t>η)</t>
    </r>
    <phoneticPr fontId="1" type="noConversion"/>
  </si>
  <si>
    <t>공칭강도(Mn)</t>
    <phoneticPr fontId="2" type="noConversion"/>
  </si>
  <si>
    <t>볼트</t>
    <phoneticPr fontId="1" type="noConversion"/>
  </si>
  <si>
    <t>스터드 타입</t>
    <phoneticPr fontId="1" type="noConversion"/>
  </si>
  <si>
    <t>RV-STUD</t>
    <phoneticPr fontId="1" type="noConversion"/>
  </si>
  <si>
    <t>110S45-10</t>
    <phoneticPr fontId="7" type="noConversion"/>
  </si>
  <si>
    <t>120S45-10</t>
    <phoneticPr fontId="7" type="noConversion"/>
  </si>
  <si>
    <t>160S45-08</t>
    <phoneticPr fontId="7" type="noConversion"/>
  </si>
  <si>
    <t>160S45-10</t>
    <phoneticPr fontId="7" type="noConversion"/>
  </si>
  <si>
    <t>80S45-08</t>
    <phoneticPr fontId="7" type="noConversion"/>
  </si>
  <si>
    <t>80S45-10</t>
    <phoneticPr fontId="7" type="noConversion"/>
  </si>
  <si>
    <t>MP-90</t>
    <phoneticPr fontId="7" type="noConversion"/>
  </si>
  <si>
    <t>MP-140</t>
    <phoneticPr fontId="7" type="noConversion"/>
  </si>
  <si>
    <t>R-STUD</t>
    <phoneticPr fontId="1" type="noConversion"/>
  </si>
  <si>
    <t>HR-124</t>
    <phoneticPr fontId="1" type="noConversion"/>
  </si>
  <si>
    <t>HR-150</t>
    <phoneticPr fontId="1" type="noConversion"/>
  </si>
  <si>
    <t>HR-174</t>
    <phoneticPr fontId="1" type="noConversion"/>
  </si>
  <si>
    <t>HR-200</t>
    <phoneticPr fontId="1" type="noConversion"/>
  </si>
  <si>
    <t>I-STUD</t>
    <phoneticPr fontId="1" type="noConversion"/>
  </si>
  <si>
    <t>I-STUD 102-06</t>
    <phoneticPr fontId="1" type="noConversion"/>
  </si>
  <si>
    <t>I-STUD 75-06</t>
    <phoneticPr fontId="1" type="noConversion"/>
  </si>
  <si>
    <t>I-STUD 75-08</t>
    <phoneticPr fontId="1" type="noConversion"/>
  </si>
  <si>
    <t>I-STUD 92-08</t>
    <phoneticPr fontId="1" type="noConversion"/>
  </si>
  <si>
    <t>I-STUD 102-08</t>
    <phoneticPr fontId="1" type="noConversion"/>
  </si>
  <si>
    <t>I-STUD 127-08</t>
    <phoneticPr fontId="1" type="noConversion"/>
  </si>
  <si>
    <t>I-STUD 152-08</t>
    <phoneticPr fontId="1" type="noConversion"/>
  </si>
  <si>
    <t>RV-74</t>
    <phoneticPr fontId="1" type="noConversion"/>
  </si>
  <si>
    <t>RV-90</t>
    <phoneticPr fontId="1" type="noConversion"/>
  </si>
  <si>
    <t>RV-124</t>
    <phoneticPr fontId="1" type="noConversion"/>
  </si>
  <si>
    <t>RV-140</t>
    <phoneticPr fontId="1" type="noConversion"/>
  </si>
  <si>
    <t>RV-150</t>
    <phoneticPr fontId="1" type="noConversion"/>
  </si>
  <si>
    <t>19TH-A-74x45x10x0.5</t>
    <phoneticPr fontId="7" type="noConversion"/>
  </si>
  <si>
    <t>19TH-A-90x45x10x0.5</t>
    <phoneticPr fontId="7" type="noConversion"/>
  </si>
  <si>
    <t>19TH-A-100x45x10x0.5</t>
    <phoneticPr fontId="7" type="noConversion"/>
  </si>
  <si>
    <t>19TH-A-124x45x10x0.5</t>
    <phoneticPr fontId="7" type="noConversion"/>
  </si>
  <si>
    <t>19TH-A-140x45x10x0.5</t>
    <phoneticPr fontId="7" type="noConversion"/>
  </si>
  <si>
    <t>19TH-A-150x45x10x0.5</t>
    <phoneticPr fontId="7" type="noConversion"/>
  </si>
  <si>
    <t>RV-100</t>
    <phoneticPr fontId="1" type="noConversion"/>
  </si>
  <si>
    <t>방화</t>
  </si>
  <si>
    <t>kg/m2</t>
    <phoneticPr fontId="1" type="noConversion"/>
  </si>
  <si>
    <t>----</t>
  </si>
  <si>
    <t>----</t>
    <phoneticPr fontId="1" type="noConversion"/>
  </si>
  <si>
    <t>지진하중 산정</t>
    <phoneticPr fontId="1" type="noConversion"/>
  </si>
  <si>
    <t>총중량</t>
    <phoneticPr fontId="1" type="noConversion"/>
  </si>
  <si>
    <t>Fp =</t>
    <phoneticPr fontId="1" type="noConversion"/>
  </si>
  <si>
    <t>Fa =</t>
    <phoneticPr fontId="1" type="noConversion"/>
  </si>
  <si>
    <t>S =</t>
    <phoneticPr fontId="1" type="noConversion"/>
  </si>
  <si>
    <t>Sds =</t>
    <phoneticPr fontId="1" type="noConversion"/>
  </si>
  <si>
    <t>중요도계수</t>
    <phoneticPr fontId="1" type="noConversion"/>
  </si>
  <si>
    <t>M =</t>
    <phoneticPr fontId="1" type="noConversion"/>
  </si>
  <si>
    <t>활하중</t>
    <phoneticPr fontId="1" type="noConversion"/>
  </si>
  <si>
    <t>D</t>
  </si>
  <si>
    <t>D+L</t>
  </si>
  <si>
    <t>(D+0.2SDSWp)+0.7E</t>
  </si>
  <si>
    <t>(D+0.2SDSWp)+0.75L+0.7E</t>
  </si>
  <si>
    <t>(0.6D-0.2SDSWp)+0.7E</t>
  </si>
  <si>
    <t>경량 스틸 스터드 단면 성능표</t>
  </si>
  <si>
    <t>DXF 파일에서 폴리라인 단면을 추출하여 자동 계산 (단위: mm, mm², mm³, mm⁴)</t>
  </si>
  <si>
    <t>그룹</t>
  </si>
  <si>
    <t>단면명</t>
  </si>
  <si>
    <t>치수</t>
  </si>
  <si>
    <t>단면적</t>
  </si>
  <si>
    <t>도심</t>
  </si>
  <si>
    <t>단면2차모멘트</t>
  </si>
  <si>
    <t>단면계수</t>
  </si>
  <si>
    <t>회전반경</t>
  </si>
  <si>
    <t>H (mm)</t>
  </si>
  <si>
    <t>B (mm)</t>
  </si>
  <si>
    <t>t (mm)</t>
  </si>
  <si>
    <t>cx (mm)</t>
  </si>
  <si>
    <t>cy (mm)</t>
  </si>
  <si>
    <t>Ix (mm⁴)</t>
  </si>
  <si>
    <t>Iy (mm⁴)</t>
  </si>
  <si>
    <t>Sx (mm³)</t>
  </si>
  <si>
    <t>Sy (mm³)</t>
  </si>
  <si>
    <t>rx (mm)</t>
  </si>
  <si>
    <t>ry (mm)</t>
  </si>
  <si>
    <t>HR-STUD</t>
  </si>
  <si>
    <t>HR-124</t>
  </si>
  <si>
    <t>HR-150</t>
  </si>
  <si>
    <t>HR-174</t>
  </si>
  <si>
    <t>HR-200</t>
  </si>
  <si>
    <t>T.silent-STUD</t>
  </si>
  <si>
    <t>19TH-A-74x45x10x0.5</t>
  </si>
  <si>
    <t>19TH-A-90x45x10x0.5</t>
  </si>
  <si>
    <t>19TH-A-100x45x10x0.5</t>
  </si>
  <si>
    <t>19TH-A-124x45x10x0.5</t>
  </si>
  <si>
    <t>19TH-A-140x45x10x0.5</t>
  </si>
  <si>
    <t>19TH-A-150x45x10x0.5</t>
  </si>
  <si>
    <t>CH-STUD</t>
  </si>
  <si>
    <t>127CHS-08</t>
  </si>
  <si>
    <t>CH-STUD(개량형)</t>
  </si>
  <si>
    <t>I-STUD</t>
  </si>
  <si>
    <t>I-STUD 75-06</t>
  </si>
  <si>
    <t>I-STUD 102-06</t>
  </si>
  <si>
    <t>I-STUD 75-08</t>
  </si>
  <si>
    <t>I-STUD 92-08</t>
  </si>
  <si>
    <t>I-STUD 102-08</t>
  </si>
  <si>
    <t>I-STUD 127-08</t>
  </si>
  <si>
    <t>I-STUD 152-08</t>
  </si>
  <si>
    <t>MP-STUD</t>
  </si>
  <si>
    <t>MP-74</t>
  </si>
  <si>
    <t>MP-90</t>
  </si>
  <si>
    <t>MP-100</t>
  </si>
  <si>
    <t>MP-124</t>
  </si>
  <si>
    <t>MP-140</t>
  </si>
  <si>
    <t>MP-150</t>
  </si>
  <si>
    <t>RV-STUD</t>
  </si>
  <si>
    <t>RV-74</t>
  </si>
  <si>
    <t>C-STUD</t>
  </si>
  <si>
    <t>50S-45-08</t>
  </si>
  <si>
    <t>50S-45-10</t>
  </si>
  <si>
    <t>65S-45-08</t>
  </si>
  <si>
    <t>65S-45-10</t>
  </si>
  <si>
    <t>75S-45-08</t>
  </si>
  <si>
    <t>75S-45-10</t>
  </si>
  <si>
    <t>80S-45-08</t>
  </si>
  <si>
    <t>80S-45-10</t>
  </si>
  <si>
    <t>90S-45-08</t>
  </si>
  <si>
    <t>90S-45-10</t>
  </si>
  <si>
    <t>100S-45-08</t>
  </si>
  <si>
    <t>100S-45-10</t>
  </si>
  <si>
    <t>110S-45-08</t>
  </si>
  <si>
    <t>110S-45-10</t>
  </si>
  <si>
    <t>120S-45-08</t>
  </si>
  <si>
    <t>120S-45-10</t>
  </si>
  <si>
    <t>125S-45-08</t>
  </si>
  <si>
    <t>125S-45-10</t>
  </si>
  <si>
    <t>140S-45-08</t>
  </si>
  <si>
    <t>140S-45-10</t>
  </si>
  <si>
    <t>150S-45-08</t>
  </si>
  <si>
    <t>150S-45-10</t>
  </si>
  <si>
    <t>160S-45-08</t>
  </si>
  <si>
    <t>160S-45-10</t>
  </si>
  <si>
    <t>R-STUD</t>
  </si>
  <si>
    <t>※ 산정 기준</t>
  </si>
  <si>
    <t xml:space="preserve">  • 단면적 A: 폐곡선의 면적 (Shoelace 공식, 두께가 표현된 외곽선 직접 적분)</t>
  </si>
  <si>
    <t xml:space="preserve">  • 도심 (cx, cy): 단면의 좌측·하단을 원점으로 한 도심 좌표</t>
  </si>
  <si>
    <t xml:space="preserve">  • 단면2차모멘트 Ix, Iy: 도심축 기준 (Green's theorem)</t>
  </si>
  <si>
    <t xml:space="preserve">  • 단면계수 Sx, Sy: I / 도심부터 외측 끝까지 거리 (보수적 작은 값 채택)</t>
  </si>
  <si>
    <t xml:space="preserve">  • 회전반경 rx, ry: √(I/A)</t>
  </si>
  <si>
    <t>※ 처리 방식</t>
  </si>
  <si>
    <t xml:space="preserve">  • C-STUD, R-STUD, CH-STUD, CH-STUD(개량형), HR-STUD, I-STUD, RV-STUD: 두께가 표현된 폐곡선 → 직접 면적 적분</t>
  </si>
  <si>
    <t xml:space="preserve">  • T.silent-STUD: 중심선 + 두께 t=0.5mm → 박판 적분 방식</t>
  </si>
  <si>
    <t xml:space="preserve">  • MP-STUD: 위/아래 두 ㄷ형 채널의 합 단면 (평행축 정리로 통합)</t>
  </si>
  <si>
    <t>※ 비고</t>
  </si>
  <si>
    <t xml:space="preserve">  • RV-STUD는 도면에 RV-74 단면만 그려져 있어 1개만 추출됨</t>
  </si>
  <si>
    <t xml:space="preserve">  • 박판 단면 설계 시 KDS 41 30 30에 따라 유효폭(effective width) 검토 별도 필요</t>
  </si>
  <si>
    <t>※ 데이터 소스: stud.dxf (Autodesk AutoCAD 2018)</t>
  </si>
  <si>
    <t>그룹분류</t>
  </si>
  <si>
    <t xml:space="preserve"> </t>
    <phoneticPr fontId="1" type="noConversion"/>
  </si>
  <si>
    <t>C-STUD(맞댐)</t>
    <phoneticPr fontId="1" type="noConversion"/>
  </si>
  <si>
    <t>C-STUD(중앙부연결)</t>
    <phoneticPr fontId="1" type="noConversion"/>
  </si>
  <si>
    <t>보정률</t>
    <phoneticPr fontId="1" type="noConversion"/>
  </si>
  <si>
    <t>간격(mm)</t>
    <phoneticPr fontId="2" type="noConversion"/>
  </si>
  <si>
    <t>C-STUD(맞댐)</t>
  </si>
  <si>
    <t>볼트간격(1P)</t>
    <phoneticPr fontId="1" type="noConversion"/>
  </si>
  <si>
    <t>볼트간격(2P)</t>
    <phoneticPr fontId="1" type="noConversion"/>
  </si>
  <si>
    <t>볼트간격(3P)</t>
    <phoneticPr fontId="1" type="noConversion"/>
  </si>
  <si>
    <t>연결면 전단강도 총합</t>
    <phoneticPr fontId="1" type="noConversion"/>
  </si>
  <si>
    <t>보정된 유효단면2차모멘트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</si>
</sst>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0_ "/>
    <numFmt numFmtId="177" formatCode="0.000_ "/>
    <numFmt numFmtId="178" formatCode="0.00_ "/>
    <numFmt numFmtId="179" formatCode="0.0_);[Red]\(0.0\)"/>
    <numFmt numFmtId="180" formatCode="0.0"/>
    <numFmt numFmtId="181" formatCode="0.0_ "/>
    <numFmt numFmtId="182" formatCode="0.0000_ "/>
  </numFmts>
  <fonts count="22"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Calibri"/>
      <family val="3"/>
      <charset val="161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8"/>
      <name val="맑은 고딕"/>
      <family val="3"/>
      <charset val="129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vertAlign val="subscript"/>
      <sz val="8"/>
      <name val="Arial"/>
      <family val="2"/>
    </font>
    <font>
      <vertAlign val="superscript"/>
      <sz val="8"/>
      <name val="Arial"/>
      <family val="2"/>
    </font>
    <font>
      <sz val="11"/>
      <color theme="1"/>
      <name val="Calibri"/>
      <family val="3"/>
      <charset val="129"/>
    </font>
    <font>
      <sz val="11"/>
      <color rgb="FF0070C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b/>
      <sz val="14"/>
      <color rgb="FFFFFFFF"/>
      <name val="맑은 고딕"/>
      <family val="3"/>
      <charset val="129"/>
    </font>
    <font>
      <i/>
      <sz val="9"/>
      <color rgb="FF666666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9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10"/>
      <name val="맑은 고딕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2F2F2"/>
      </patternFill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DDEBF7"/>
      </patternFill>
    </fill>
    <fill>
      <patternFill patternType="solid">
        <fgColor rgb="FF5B9BD5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>
      <left/>
      <right/>
      <top style="thin">
        <color rgb="FF888888"/>
      </top>
      <bottom style="thin">
        <color rgb="FF888888"/>
      </bottom>
      <diagonal/>
    </border>
    <border>
      <left/>
      <right style="thin">
        <color rgb="FF888888"/>
      </right>
      <top style="thin">
        <color rgb="FF888888"/>
      </top>
      <bottom style="thin">
        <color rgb="FF888888"/>
      </bottom>
      <diagonal/>
    </border>
    <border>
      <left style="thin">
        <color rgb="FF888888"/>
      </left>
      <right style="thin">
        <color rgb="FF888888"/>
      </right>
      <top/>
      <bottom style="thin">
        <color rgb="FF888888"/>
      </bottom>
      <diagonal/>
    </border>
    <border>
      <left style="thin">
        <color rgb="FF888888"/>
      </left>
      <right style="thin">
        <color rgb="FF888888"/>
      </right>
      <top/>
      <bottom/>
      <diagonal/>
    </border>
  </borders>
  <cellStyleXfs count="4">
    <xf numFmtId="0" fontId="0" fillId="0" borderId="0">
      <alignment vertical="center"/>
    </xf>
    <xf numFmtId="0" fontId="5" fillId="0" borderId="0">
      <alignment vertical="center"/>
    </xf>
    <xf numFmtId="0" fontId="8" fillId="0" borderId="0"/>
    <xf numFmtId="0" fontId="15" fillId="0" borderId="0"/>
  </cellStyleXfs>
  <cellXfs count="121">
    <xf numFmtId="0" fontId="0" fillId="0" borderId="0" xfId="0">
      <alignment vertical="center"/>
    </xf>
    <xf numFmtId="0" fontId="5" fillId="0" borderId="0" xfId="1">
      <alignment vertical="center"/>
    </xf>
    <xf numFmtId="0" fontId="5" fillId="0" borderId="0" xfId="1" applyAlignment="1">
      <alignment horizontal="center" vertical="center"/>
    </xf>
    <xf numFmtId="0" fontId="5" fillId="0" borderId="1" xfId="1" applyBorder="1" applyAlignment="1">
      <alignment horizontal="center" vertical="center"/>
    </xf>
    <xf numFmtId="0" fontId="5" fillId="0" borderId="1" xfId="1" applyBorder="1">
      <alignment vertical="center"/>
    </xf>
    <xf numFmtId="178" fontId="5" fillId="0" borderId="1" xfId="1" applyNumberFormat="1" applyBorder="1" applyAlignment="1">
      <alignment horizontal="center" vertical="center"/>
    </xf>
    <xf numFmtId="178" fontId="5" fillId="0" borderId="1" xfId="1" applyNumberFormat="1" applyBorder="1">
      <alignment vertical="center"/>
    </xf>
    <xf numFmtId="0" fontId="5" fillId="0" borderId="8" xfId="1" applyBorder="1" applyAlignment="1">
      <alignment horizontal="center" vertical="center"/>
    </xf>
    <xf numFmtId="0" fontId="5" fillId="0" borderId="10" xfId="1" applyBorder="1" applyAlignment="1">
      <alignment horizontal="center" vertical="center"/>
    </xf>
    <xf numFmtId="0" fontId="5" fillId="0" borderId="1" xfId="1" quotePrefix="1" applyBorder="1">
      <alignment vertical="center"/>
    </xf>
    <xf numFmtId="11" fontId="5" fillId="0" borderId="1" xfId="1" applyNumberFormat="1" applyBorder="1">
      <alignment vertical="center"/>
    </xf>
    <xf numFmtId="0" fontId="5" fillId="0" borderId="2" xfId="1" applyBorder="1" applyAlignment="1">
      <alignment horizontal="center" vertical="center"/>
    </xf>
    <xf numFmtId="11" fontId="0" fillId="0" borderId="0" xfId="0" applyNumberFormat="1">
      <alignment vertical="center"/>
    </xf>
    <xf numFmtId="49" fontId="9" fillId="2" borderId="0" xfId="2" applyNumberFormat="1" applyFont="1" applyFill="1" applyAlignment="1">
      <alignment vertical="center"/>
    </xf>
    <xf numFmtId="176" fontId="9" fillId="2" borderId="0" xfId="2" applyNumberFormat="1" applyFont="1" applyFill="1" applyAlignment="1">
      <alignment vertical="center"/>
    </xf>
    <xf numFmtId="49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0" fontId="5" fillId="0" borderId="1" xfId="1" applyNumberFormat="1" applyBorder="1">
      <alignment vertical="center"/>
    </xf>
    <xf numFmtId="0" fontId="5" fillId="0" borderId="5" xfId="1" applyBorder="1">
      <alignment vertical="center"/>
    </xf>
    <xf numFmtId="0" fontId="5" fillId="0" borderId="6" xfId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1" quotePrefix="1" applyFont="1" applyFill="1" applyBorder="1" applyAlignment="1">
      <alignment horizontal="center" vertical="center"/>
    </xf>
    <xf numFmtId="176" fontId="5" fillId="0" borderId="1" xfId="1" applyNumberFormat="1" applyBorder="1" applyAlignment="1">
      <alignment horizontal="center" vertical="center"/>
    </xf>
    <xf numFmtId="176" fontId="5" fillId="0" borderId="9" xfId="1" applyNumberFormat="1" applyBorder="1" applyAlignment="1">
      <alignment horizontal="center" vertical="center"/>
    </xf>
    <xf numFmtId="179" fontId="5" fillId="0" borderId="1" xfId="1" applyNumberFormat="1" applyBorder="1" applyAlignment="1">
      <alignment horizontal="center" vertical="center"/>
    </xf>
    <xf numFmtId="179" fontId="5" fillId="2" borderId="1" xfId="1" applyNumberFormat="1" applyFill="1" applyBorder="1" applyAlignment="1">
      <alignment horizontal="center" vertical="center"/>
    </xf>
    <xf numFmtId="179" fontId="5" fillId="0" borderId="9" xfId="1" applyNumberFormat="1" applyBorder="1" applyAlignment="1">
      <alignment horizontal="center" vertical="center"/>
    </xf>
    <xf numFmtId="0" fontId="5" fillId="0" borderId="20" xfId="1" applyBorder="1" applyAlignment="1">
      <alignment horizontal="center" vertical="center"/>
    </xf>
    <xf numFmtId="178" fontId="5" fillId="0" borderId="9" xfId="1" quotePrefix="1" applyNumberFormat="1" applyBorder="1" applyAlignment="1">
      <alignment horizontal="center" vertical="center"/>
    </xf>
    <xf numFmtId="178" fontId="5" fillId="0" borderId="9" xfId="1" applyNumberFormat="1" applyBorder="1" applyAlignment="1">
      <alignment horizontal="center" vertical="center"/>
    </xf>
    <xf numFmtId="178" fontId="5" fillId="0" borderId="1" xfId="1" quotePrefix="1" applyNumberFormat="1" applyBorder="1" applyAlignment="1">
      <alignment horizontal="center" vertical="center"/>
    </xf>
    <xf numFmtId="0" fontId="5" fillId="0" borderId="11" xfId="1" applyBorder="1" applyAlignment="1">
      <alignment horizontal="center" vertical="center"/>
    </xf>
    <xf numFmtId="181" fontId="5" fillId="0" borderId="1" xfId="1" applyNumberFormat="1" applyBorder="1" applyAlignment="1">
      <alignment horizontal="center" vertical="center"/>
    </xf>
    <xf numFmtId="0" fontId="5" fillId="0" borderId="16" xfId="1" applyBorder="1" applyAlignment="1">
      <alignment horizontal="center" vertical="center"/>
    </xf>
    <xf numFmtId="0" fontId="3" fillId="5" borderId="12" xfId="1" applyFont="1" applyFill="1" applyBorder="1" applyAlignment="1">
      <alignment horizontal="center" vertical="center"/>
    </xf>
    <xf numFmtId="176" fontId="3" fillId="5" borderId="9" xfId="1" applyNumberFormat="1" applyFont="1" applyFill="1" applyBorder="1" applyAlignment="1">
      <alignment horizontal="center" vertical="center"/>
    </xf>
    <xf numFmtId="178" fontId="5" fillId="0" borderId="12" xfId="1" quotePrefix="1" applyNumberFormat="1" applyBorder="1" applyAlignment="1">
      <alignment horizontal="center" vertical="center"/>
    </xf>
    <xf numFmtId="0" fontId="5" fillId="0" borderId="25" xfId="1" applyBorder="1" applyAlignment="1">
      <alignment horizontal="center" vertical="center"/>
    </xf>
    <xf numFmtId="0" fontId="5" fillId="0" borderId="29" xfId="1" applyBorder="1" applyAlignment="1">
      <alignment horizontal="center" vertical="center"/>
    </xf>
    <xf numFmtId="0" fontId="5" fillId="0" borderId="30" xfId="1" applyBorder="1" applyAlignment="1">
      <alignment horizontal="center" vertical="center"/>
    </xf>
    <xf numFmtId="0" fontId="5" fillId="2" borderId="9" xfId="1" applyFill="1" applyBorder="1" applyAlignment="1">
      <alignment horizontal="center" vertical="center"/>
    </xf>
    <xf numFmtId="0" fontId="3" fillId="5" borderId="9" xfId="1" applyFont="1" applyFill="1" applyBorder="1" applyAlignment="1">
      <alignment horizontal="center" vertical="center"/>
    </xf>
    <xf numFmtId="181" fontId="5" fillId="0" borderId="9" xfId="1" applyNumberFormat="1" applyBorder="1" applyAlignment="1">
      <alignment horizontal="center" vertical="center"/>
    </xf>
    <xf numFmtId="0" fontId="13" fillId="0" borderId="16" xfId="1" applyFont="1" applyBorder="1" applyAlignment="1">
      <alignment horizontal="center" vertical="center"/>
    </xf>
    <xf numFmtId="177" fontId="5" fillId="0" borderId="1" xfId="1" applyNumberFormat="1" applyBorder="1" applyAlignment="1">
      <alignment horizontal="center" vertical="center"/>
    </xf>
    <xf numFmtId="177" fontId="5" fillId="0" borderId="9" xfId="1" applyNumberFormat="1" applyBorder="1" applyAlignment="1">
      <alignment horizontal="center" vertical="center"/>
    </xf>
    <xf numFmtId="0" fontId="5" fillId="0" borderId="10" xfId="1" applyBorder="1">
      <alignment vertical="center"/>
    </xf>
    <xf numFmtId="0" fontId="5" fillId="0" borderId="23" xfId="1" applyBorder="1">
      <alignment vertical="center"/>
    </xf>
    <xf numFmtId="178" fontId="5" fillId="0" borderId="11" xfId="1" applyNumberFormat="1" applyBorder="1" applyAlignment="1">
      <alignment horizontal="center" vertical="center"/>
    </xf>
    <xf numFmtId="0" fontId="5" fillId="0" borderId="24" xfId="1" applyBorder="1" applyAlignment="1">
      <alignment horizontal="center" vertical="center"/>
    </xf>
    <xf numFmtId="178" fontId="3" fillId="5" borderId="12" xfId="1" applyNumberFormat="1" applyFont="1" applyFill="1" applyBorder="1" applyAlignment="1">
      <alignment horizontal="center" vertical="center"/>
    </xf>
    <xf numFmtId="176" fontId="5" fillId="0" borderId="11" xfId="1" applyNumberFormat="1" applyBorder="1" applyAlignment="1">
      <alignment horizontal="center" vertical="center"/>
    </xf>
    <xf numFmtId="176" fontId="5" fillId="0" borderId="0" xfId="1" applyNumberFormat="1" applyAlignment="1">
      <alignment horizontal="center" vertical="center"/>
    </xf>
    <xf numFmtId="178" fontId="5" fillId="0" borderId="0" xfId="1" quotePrefix="1" applyNumberFormat="1" applyAlignment="1">
      <alignment horizontal="center" vertical="center"/>
    </xf>
    <xf numFmtId="0" fontId="3" fillId="2" borderId="17" xfId="1" applyFont="1" applyFill="1" applyBorder="1" applyAlignment="1">
      <alignment horizontal="center" vertical="center"/>
    </xf>
    <xf numFmtId="0" fontId="5" fillId="0" borderId="18" xfId="1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2" borderId="23" xfId="1" applyFill="1" applyBorder="1" applyAlignment="1">
      <alignment horizontal="center" vertical="center"/>
    </xf>
    <xf numFmtId="0" fontId="5" fillId="2" borderId="7" xfId="1" applyFill="1" applyBorder="1" applyAlignment="1">
      <alignment horizontal="center" vertical="center"/>
    </xf>
    <xf numFmtId="178" fontId="5" fillId="4" borderId="9" xfId="1" applyNumberFormat="1" applyFill="1" applyBorder="1" applyAlignment="1">
      <alignment horizontal="center" vertical="center"/>
    </xf>
    <xf numFmtId="180" fontId="5" fillId="2" borderId="9" xfId="1" applyNumberFormat="1" applyFill="1" applyBorder="1" applyAlignment="1">
      <alignment horizontal="center" vertical="center"/>
    </xf>
    <xf numFmtId="0" fontId="5" fillId="2" borderId="12" xfId="1" applyFill="1" applyBorder="1" applyAlignment="1">
      <alignment horizontal="center" vertical="center"/>
    </xf>
    <xf numFmtId="0" fontId="14" fillId="0" borderId="1" xfId="1" applyFont="1" applyBorder="1">
      <alignment vertical="center"/>
    </xf>
    <xf numFmtId="180" fontId="5" fillId="0" borderId="1" xfId="1" applyNumberFormat="1" applyBorder="1" applyAlignment="1">
      <alignment horizontal="center" vertical="center"/>
    </xf>
    <xf numFmtId="2" fontId="5" fillId="0" borderId="0" xfId="1" applyNumberFormat="1" applyAlignment="1">
      <alignment horizontal="center" vertical="center"/>
    </xf>
    <xf numFmtId="2" fontId="5" fillId="0" borderId="1" xfId="1" applyNumberFormat="1" applyBorder="1">
      <alignment vertical="center"/>
    </xf>
    <xf numFmtId="0" fontId="15" fillId="0" borderId="0" xfId="3"/>
    <xf numFmtId="0" fontId="19" fillId="10" borderId="31" xfId="3" applyFont="1" applyFill="1" applyBorder="1" applyAlignment="1">
      <alignment horizontal="center" vertical="center"/>
    </xf>
    <xf numFmtId="0" fontId="20" fillId="11" borderId="31" xfId="3" applyFont="1" applyFill="1" applyBorder="1" applyAlignment="1">
      <alignment horizontal="center" vertical="center" wrapText="1"/>
    </xf>
    <xf numFmtId="0" fontId="21" fillId="0" borderId="31" xfId="3" applyFont="1" applyBorder="1" applyAlignment="1">
      <alignment horizontal="left" vertical="center" indent="1"/>
    </xf>
    <xf numFmtId="0" fontId="21" fillId="0" borderId="31" xfId="3" applyFont="1" applyBorder="1" applyAlignment="1">
      <alignment horizontal="right" vertical="center"/>
    </xf>
    <xf numFmtId="3" fontId="21" fillId="0" borderId="31" xfId="3" applyNumberFormat="1" applyFont="1" applyBorder="1" applyAlignment="1">
      <alignment horizontal="right" vertical="center"/>
    </xf>
    <xf numFmtId="0" fontId="21" fillId="7" borderId="31" xfId="3" applyFont="1" applyFill="1" applyBorder="1" applyAlignment="1">
      <alignment horizontal="left" vertical="center" indent="1"/>
    </xf>
    <xf numFmtId="0" fontId="21" fillId="7" borderId="31" xfId="3" applyFont="1" applyFill="1" applyBorder="1" applyAlignment="1">
      <alignment horizontal="right" vertical="center"/>
    </xf>
    <xf numFmtId="3" fontId="21" fillId="7" borderId="31" xfId="3" applyNumberFormat="1" applyFont="1" applyFill="1" applyBorder="1" applyAlignment="1">
      <alignment horizontal="right" vertical="center"/>
    </xf>
    <xf numFmtId="182" fontId="5" fillId="0" borderId="12" xfId="1" applyNumberFormat="1" applyBorder="1" applyAlignment="1">
      <alignment horizontal="center" vertical="center"/>
    </xf>
    <xf numFmtId="0" fontId="5" fillId="2" borderId="0" xfId="1" applyFill="1" applyAlignment="1">
      <alignment horizontal="center" vertical="center"/>
    </xf>
    <xf numFmtId="182" fontId="5" fillId="0" borderId="0" xfId="1" applyNumberFormat="1" applyAlignment="1">
      <alignment horizontal="center" vertical="center"/>
    </xf>
    <xf numFmtId="0" fontId="5" fillId="0" borderId="0" xfId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178" fontId="5" fillId="0" borderId="0" xfId="1" applyNumberFormat="1" applyAlignment="1">
      <alignment horizontal="center" vertical="center"/>
    </xf>
    <xf numFmtId="178" fontId="5" fillId="4" borderId="0" xfId="1" applyNumberFormat="1" applyFill="1" applyAlignment="1">
      <alignment horizontal="center" vertical="center"/>
    </xf>
    <xf numFmtId="181" fontId="5" fillId="0" borderId="0" xfId="1" applyNumberFormat="1" applyAlignment="1">
      <alignment horizontal="center" vertical="center"/>
    </xf>
    <xf numFmtId="0" fontId="3" fillId="5" borderId="0" xfId="1" applyFont="1" applyFill="1" applyAlignment="1">
      <alignment horizontal="center" vertical="center"/>
    </xf>
    <xf numFmtId="180" fontId="5" fillId="2" borderId="0" xfId="1" applyNumberFormat="1" applyFill="1" applyAlignment="1">
      <alignment horizontal="center" vertical="center"/>
    </xf>
    <xf numFmtId="2" fontId="5" fillId="0" borderId="0" xfId="1" applyNumberFormat="1">
      <alignment vertical="center"/>
    </xf>
    <xf numFmtId="178" fontId="5" fillId="0" borderId="0" xfId="1" applyNumberFormat="1">
      <alignment vertical="center"/>
    </xf>
    <xf numFmtId="0" fontId="5" fillId="2" borderId="0" xfId="1" applyFill="1">
      <alignment vertical="center"/>
    </xf>
    <xf numFmtId="0" fontId="3" fillId="3" borderId="13" xfId="1" applyFont="1" applyFill="1" applyBorder="1" applyAlignment="1">
      <alignment horizontal="center" vertical="center"/>
    </xf>
    <xf numFmtId="0" fontId="3" fillId="3" borderId="16" xfId="1" applyFont="1" applyFill="1" applyBorder="1" applyAlignment="1">
      <alignment horizontal="center" vertical="center"/>
    </xf>
    <xf numFmtId="0" fontId="3" fillId="3" borderId="14" xfId="1" applyFont="1" applyFill="1" applyBorder="1" applyAlignment="1">
      <alignment horizontal="center" vertical="center"/>
    </xf>
    <xf numFmtId="0" fontId="3" fillId="3" borderId="17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3" fillId="3" borderId="15" xfId="1" applyFont="1" applyFill="1" applyBorder="1" applyAlignment="1">
      <alignment horizontal="center" vertical="center"/>
    </xf>
    <xf numFmtId="0" fontId="3" fillId="3" borderId="18" xfId="1" applyFont="1" applyFill="1" applyBorder="1" applyAlignment="1">
      <alignment horizontal="center" vertical="center"/>
    </xf>
    <xf numFmtId="0" fontId="3" fillId="3" borderId="19" xfId="1" applyFont="1" applyFill="1" applyBorder="1" applyAlignment="1">
      <alignment horizontal="center" vertical="center"/>
    </xf>
    <xf numFmtId="0" fontId="3" fillId="6" borderId="26" xfId="1" applyFont="1" applyFill="1" applyBorder="1" applyAlignment="1">
      <alignment horizontal="center" vertical="center"/>
    </xf>
    <xf numFmtId="0" fontId="3" fillId="6" borderId="27" xfId="1" applyFont="1" applyFill="1" applyBorder="1" applyAlignment="1">
      <alignment horizontal="center" vertical="center"/>
    </xf>
    <xf numFmtId="0" fontId="3" fillId="6" borderId="28" xfId="1" applyFont="1" applyFill="1" applyBorder="1" applyAlignment="1">
      <alignment horizontal="center" vertical="center"/>
    </xf>
    <xf numFmtId="0" fontId="5" fillId="0" borderId="5" xfId="1" applyBorder="1" applyAlignment="1">
      <alignment horizontal="center" vertical="center"/>
    </xf>
    <xf numFmtId="0" fontId="5" fillId="0" borderId="8" xfId="1" applyBorder="1" applyAlignment="1">
      <alignment horizontal="center" vertical="center"/>
    </xf>
    <xf numFmtId="0" fontId="5" fillId="0" borderId="10" xfId="1" applyBorder="1" applyAlignment="1">
      <alignment horizontal="center" vertical="center"/>
    </xf>
    <xf numFmtId="178" fontId="5" fillId="0" borderId="2" xfId="1" applyNumberFormat="1" applyBorder="1" applyAlignment="1">
      <alignment horizontal="center" vertical="center"/>
    </xf>
    <xf numFmtId="178" fontId="5" fillId="0" borderId="4" xfId="1" applyNumberFormat="1" applyBorder="1" applyAlignment="1">
      <alignment horizontal="center" vertical="center"/>
    </xf>
    <xf numFmtId="178" fontId="5" fillId="0" borderId="3" xfId="1" applyNumberFormat="1" applyBorder="1" applyAlignment="1">
      <alignment horizontal="center" vertical="center"/>
    </xf>
    <xf numFmtId="178" fontId="5" fillId="0" borderId="22" xfId="1" applyNumberFormat="1" applyBorder="1" applyAlignment="1">
      <alignment horizontal="center" vertical="center"/>
    </xf>
    <xf numFmtId="178" fontId="5" fillId="0" borderId="19" xfId="1" applyNumberFormat="1" applyBorder="1" applyAlignment="1">
      <alignment horizontal="center" vertical="center"/>
    </xf>
    <xf numFmtId="0" fontId="5" fillId="0" borderId="21" xfId="1" applyBorder="1" applyAlignment="1">
      <alignment horizontal="center" vertical="center"/>
    </xf>
    <xf numFmtId="0" fontId="5" fillId="0" borderId="16" xfId="1" applyBorder="1" applyAlignment="1">
      <alignment horizontal="center" vertical="center"/>
    </xf>
    <xf numFmtId="0" fontId="5" fillId="0" borderId="2" xfId="1" applyBorder="1" applyAlignment="1">
      <alignment horizontal="center" vertical="center"/>
    </xf>
    <xf numFmtId="0" fontId="5" fillId="0" borderId="3" xfId="1" applyBorder="1" applyAlignment="1">
      <alignment horizontal="center" vertical="center"/>
    </xf>
    <xf numFmtId="0" fontId="17" fillId="0" borderId="0" xfId="3" applyFont="1" applyAlignment="1">
      <alignment horizontal="left" vertical="center"/>
    </xf>
    <xf numFmtId="0" fontId="15" fillId="0" borderId="0" xfId="3"/>
    <xf numFmtId="0" fontId="20" fillId="11" borderId="31" xfId="3" applyFont="1" applyFill="1" applyBorder="1" applyAlignment="1">
      <alignment horizontal="center" vertical="center" wrapText="1"/>
    </xf>
    <xf numFmtId="0" fontId="15" fillId="0" borderId="35" xfId="3" applyBorder="1"/>
    <xf numFmtId="0" fontId="15" fillId="0" borderId="34" xfId="3" applyBorder="1"/>
    <xf numFmtId="0" fontId="16" fillId="8" borderId="0" xfId="3" applyFont="1" applyFill="1" applyAlignment="1">
      <alignment horizontal="center" vertical="center"/>
    </xf>
    <xf numFmtId="0" fontId="17" fillId="0" borderId="0" xfId="3" applyFont="1" applyAlignment="1">
      <alignment horizontal="center" vertical="center"/>
    </xf>
    <xf numFmtId="0" fontId="18" fillId="9" borderId="31" xfId="3" applyFont="1" applyFill="1" applyBorder="1" applyAlignment="1">
      <alignment horizontal="center" vertical="center"/>
    </xf>
    <xf numFmtId="0" fontId="15" fillId="0" borderId="32" xfId="3" applyBorder="1"/>
    <xf numFmtId="0" fontId="15" fillId="0" borderId="33" xfId="3" applyBorder="1"/>
  </cellXfs>
  <cellStyles count="4">
    <cellStyle name="표준" xfId="0" builtinId="0"/>
    <cellStyle name="표준 2" xfId="1" xr:uid="{370F0ACD-258C-4EDA-B70D-AD30B3C11296}"/>
    <cellStyle name="표준 3" xfId="3" xr:uid="{313FA820-54C0-40A8-9D37-2EAF959A0D29}"/>
    <cellStyle name="표준_설계하중" xfId="2" xr:uid="{62BD4889-3A1A-4834-B3DD-E14904C177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608134</xdr:colOff>
      <xdr:row>1</xdr:row>
      <xdr:rowOff>0</xdr:rowOff>
    </xdr:from>
    <xdr:to>
      <xdr:col>6</xdr:col>
      <xdr:colOff>288890</xdr:colOff>
      <xdr:row>6</xdr:row>
      <xdr:rowOff>40411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5CD1DB9-8D91-803F-9550-421F25C105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32538" y="153865"/>
          <a:ext cx="1505160" cy="80973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Users/jeongjihun/Library/CloudStorage/NAVERWORKS&#4355;&#4467;&#4357;&#4449;&#4363;&#4469;&#4359;&#4467;-jjh@dyce.kr/&#4354;&#4450;%20&#4355;&#4467;&#4357;&#4449;&#4363;&#4469;&#4359;&#4467;/01%20Project%20&#4364;&#4469;&#4523;&#4370;&#4450;&#4540;&#4364;&#4462;&#4540;/KCC%20&#4352;&#4455;&#4540;&#4357;&#4451;&#4540;&#4359;&#4455;&#4520;&#4366;&#4454;%20&#4361;&#4457;&#4369;&#4467;&#4368;&#4467;&#4363;&#4464;&#4363;&#4453;%20&#4352;&#4450;&#4359;&#4449;&#4527;/&#51060;&#51204;&#51089;&#50629;/210204%20KCC%20&#44221;&#47049;&#48317;&#52404;%20&#45236;&#51652;&#49457;&#45733;&#44160;&#53664;%20-%20&#52628;&#44032;&#50857;&#50669;/1.%20&#51217;&#49688;/190605%20KCC&#44221;&#47049;&#48317;&#52404;%20&#45236;&#51652;&#49457;&#45733;%20&#44160;&#53664;/2.%20&#49884;&#53944;&#51221;&#47532;/17.KDJ-19SQ-F.xlsm" TargetMode="External"/><Relationship Id="rId2" Type="http://schemas.microsoft.com/office/2019/04/relationships/externalLinkLongPath" Target="/Users/jeongjihun/Library/CloudStorage/NAVERWORKS&#4355;&#4467;&#4357;&#4449;&#4363;&#4469;&#4359;&#4467;-jjh@dyce.kr/&#4354;&#4450;%20&#4355;&#4467;&#4357;&#4449;&#4363;&#4469;&#4359;&#4467;/01%20Project%20&#4364;&#4469;&#4523;&#4370;&#4450;&#4540;&#4364;&#4462;&#4540;/KCC%20&#4352;&#4455;&#4540;&#4357;&#4451;&#4540;&#4359;&#4455;&#4520;&#4366;&#4454;%20&#4361;&#4457;&#4369;&#4467;&#4368;&#4467;&#4363;&#4464;&#4363;&#4453;%20&#4352;&#4450;&#4359;&#4449;&#4527;/&#51060;&#51204;&#51089;&#50629;/210204%20KCC%20&#44221;&#47049;&#48317;&#52404;%20&#45236;&#51652;&#49457;&#45733;&#44160;&#53664;%20-%20&#52628;&#44032;&#50857;&#50669;/1.%20&#51217;&#49688;/190605%20KCC&#44221;&#47049;&#48317;&#52404;%20&#45236;&#51652;&#49457;&#45733;%20&#44160;&#53664;/2.%20&#49884;&#53944;&#51221;&#47532;/17.KDJ-19SQ-F.xlsm?D11DA11F" TargetMode="External"/><Relationship Id="rId1" Type="http://schemas.openxmlformats.org/officeDocument/2006/relationships/externalLinkPath" Target="file:///\\D11DA11F\17.KDJ-19SQ-F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Variable"/>
    </sheetNames>
    <sheetDataSet>
      <sheetData sheetId="0" refreshError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C8DAB4A-DEE0-4E8E-AFD9-CA10E5445075}">
  <we:reference id="wa200009404" version="1.0.0.8" store="ko-KR" storeType="OMEX"/>
  <we:alternateReferences>
    <we:reference id="WA200009404" version="1.0.0.8" store="" storeType="OMEX"/>
  </we:alternateReferences>
  <we:properties>
    <we:property name="claude.fileId" value="&quot;64a5dc3e-9360-4a43-9681-299c1a1efc4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D193F-1754-450C-A38D-A11E4476FFD1}">
  <sheetPr codeName="Sheet12"/>
  <dimension ref="A1:S49"/>
  <sheetViews>
    <sheetView tabSelected="1" zoomScale="70" zoomScaleNormal="70" workbookViewId="0">
      <selection activeCell="C41" sqref="C41"/>
    </sheetView>
  </sheetViews>
  <sheetFormatPr defaultColWidth="9.140625" defaultRowHeight="16.5"/>
  <cols>
    <col min="1" max="1" width="20" style="1" bestFit="1" customWidth="1"/>
    <col min="2" max="2" width="25.42578125" style="1" bestFit="1" customWidth="1"/>
    <col min="3" max="3" width="16.140625" style="1" bestFit="1" customWidth="1"/>
    <col min="4" max="4" width="16.140625" style="1" customWidth="1"/>
    <col min="5" max="5" width="9.140625" style="1"/>
    <col min="6" max="6" width="26" style="1" bestFit="1" customWidth="1"/>
    <col min="7" max="9" width="19.85546875" style="1" bestFit="1" customWidth="1"/>
    <col min="10" max="10" width="20.42578125" style="1" bestFit="1" customWidth="1"/>
    <col min="11" max="11" width="22.5703125" style="1" bestFit="1" customWidth="1"/>
    <col min="12" max="13" width="19.85546875" style="1" bestFit="1" customWidth="1"/>
    <col min="14" max="14" width="14.5703125" style="1" bestFit="1" customWidth="1"/>
    <col min="15" max="15" width="13.140625" style="1" bestFit="1" customWidth="1"/>
    <col min="16" max="16" width="9.140625" style="1"/>
    <col min="17" max="17" width="0" style="1" hidden="1" customWidth="1"/>
    <col min="18" max="18" width="9.140625" style="1"/>
    <col min="19" max="19" width="14.140625" style="1" bestFit="1" customWidth="1"/>
    <col min="20" max="16384" width="9.140625" style="1"/>
  </cols>
  <sheetData>
    <row r="1" spans="1:17" ht="17.25" thickBot="1">
      <c r="O1"/>
      <c r="Q1" s="1" t="str" cm="1">
        <f t="array" ref="Q1">_xlfn._xlws.FILTER(단면성능!$B$6:$B$69,단면성능!$O$6:$O$69=$A$5,"")</f>
        <v/>
      </c>
    </row>
    <row r="2" spans="1:17">
      <c r="A2" s="18" t="s">
        <v>95</v>
      </c>
      <c r="B2" s="19" t="s">
        <v>96</v>
      </c>
      <c r="C2" s="59">
        <v>24</v>
      </c>
      <c r="D2" s="77"/>
      <c r="F2" s="88" t="s">
        <v>97</v>
      </c>
      <c r="G2" s="92" t="s">
        <v>100</v>
      </c>
      <c r="H2" s="92"/>
      <c r="I2" s="92"/>
      <c r="J2" s="90" t="s">
        <v>98</v>
      </c>
      <c r="K2" s="92" t="s">
        <v>99</v>
      </c>
      <c r="L2" s="92"/>
      <c r="M2" s="92"/>
      <c r="N2" s="93" t="s">
        <v>101</v>
      </c>
      <c r="O2"/>
    </row>
    <row r="3" spans="1:17" ht="17.25" thickBot="1">
      <c r="A3" s="48"/>
      <c r="B3" s="33" t="s">
        <v>106</v>
      </c>
      <c r="C3" s="76">
        <f>MAX(C46:C48)</f>
        <v>1.5982946806950005</v>
      </c>
      <c r="D3" s="78" t="s">
        <v>300</v>
      </c>
      <c r="F3" s="89"/>
      <c r="G3" s="20">
        <v>3</v>
      </c>
      <c r="H3" s="20">
        <v>2</v>
      </c>
      <c r="I3" s="20">
        <v>1</v>
      </c>
      <c r="J3" s="91"/>
      <c r="K3" s="20">
        <v>1</v>
      </c>
      <c r="L3" s="20">
        <v>2</v>
      </c>
      <c r="M3" s="20">
        <v>3</v>
      </c>
      <c r="N3" s="94"/>
      <c r="O3"/>
    </row>
    <row r="4" spans="1:17">
      <c r="A4" s="49" t="s">
        <v>150</v>
      </c>
      <c r="B4" s="51" t="str">
        <f>단면성능!A42</f>
        <v>C-STUD</v>
      </c>
      <c r="C4" s="57" t="b">
        <f>IF($A$5=B4,TRUE,FALSE)</f>
        <v>0</v>
      </c>
      <c r="D4" s="79">
        <v>1</v>
      </c>
      <c r="F4" s="21" t="s">
        <v>102</v>
      </c>
      <c r="G4" s="23" t="s">
        <v>187</v>
      </c>
      <c r="H4" s="22" t="s">
        <v>185</v>
      </c>
      <c r="I4" s="22" t="s">
        <v>185</v>
      </c>
      <c r="J4" s="56" t="s">
        <v>257</v>
      </c>
      <c r="K4" s="23" t="s">
        <v>185</v>
      </c>
      <c r="L4" s="22" t="s">
        <v>185</v>
      </c>
      <c r="M4" s="22" t="s">
        <v>187</v>
      </c>
      <c r="N4" s="95"/>
      <c r="O4"/>
    </row>
    <row r="5" spans="1:17">
      <c r="A5" s="58" t="s">
        <v>302</v>
      </c>
      <c r="B5" s="51" t="str">
        <f>단면성능!A16</f>
        <v>CH-STUD</v>
      </c>
      <c r="C5" s="57" t="b">
        <f t="shared" ref="C5:C16" si="0">IF($A$5=B5,TRUE,FALSE)</f>
        <v>0</v>
      </c>
      <c r="D5" s="79">
        <v>1</v>
      </c>
      <c r="F5" s="7" t="s">
        <v>103</v>
      </c>
      <c r="G5" s="27">
        <v>0</v>
      </c>
      <c r="H5" s="27">
        <v>19</v>
      </c>
      <c r="I5" s="27">
        <v>19</v>
      </c>
      <c r="J5" s="26">
        <f>IF(C13=TRUE,2,1)*VLOOKUP(J4,단면성능!$B$6:$N$69,2,FALSE)+IF(C13=TRUE, 25,0)</f>
        <v>50</v>
      </c>
      <c r="K5" s="27">
        <v>19</v>
      </c>
      <c r="L5" s="27">
        <v>19</v>
      </c>
      <c r="M5" s="27">
        <v>0</v>
      </c>
      <c r="N5" s="28">
        <f>IF(OR(C5=TRUE,C6=TRUE),1+SUM(J5:M5),SUM(G5:M5))</f>
        <v>126</v>
      </c>
      <c r="O5"/>
    </row>
    <row r="6" spans="1:17">
      <c r="A6" s="49"/>
      <c r="B6" s="51" t="str">
        <f>단면성능!A22</f>
        <v>CH-STUD(개량형)</v>
      </c>
      <c r="C6" s="57" t="b">
        <f t="shared" si="0"/>
        <v>0</v>
      </c>
      <c r="D6" s="79">
        <v>1</v>
      </c>
      <c r="F6" s="7" t="s">
        <v>104</v>
      </c>
      <c r="G6" s="26">
        <f>M6</f>
        <v>450</v>
      </c>
      <c r="H6" s="26">
        <f>G6</f>
        <v>450</v>
      </c>
      <c r="I6" s="26">
        <f>H6</f>
        <v>450</v>
      </c>
      <c r="J6" s="26">
        <f>VLOOKUP(J4,단면성능!$B$6:$N$69,3,FALSE)*IF(C12=TRUE,2,1)</f>
        <v>90</v>
      </c>
      <c r="K6" s="26">
        <f>C19</f>
        <v>450</v>
      </c>
      <c r="L6" s="26">
        <f>K6</f>
        <v>450</v>
      </c>
      <c r="M6" s="26">
        <f>L6</f>
        <v>450</v>
      </c>
      <c r="N6" s="30" t="s">
        <v>0</v>
      </c>
      <c r="O6"/>
    </row>
    <row r="7" spans="1:17">
      <c r="A7" s="49"/>
      <c r="B7" s="51" t="str">
        <f>단면성능!A10</f>
        <v>T.silent-STUD</v>
      </c>
      <c r="C7" s="57" t="b">
        <f t="shared" si="0"/>
        <v>0</v>
      </c>
      <c r="D7" s="79">
        <v>1</v>
      </c>
      <c r="F7" s="7" t="s">
        <v>105</v>
      </c>
      <c r="G7" s="5">
        <f>IFERROR(G35*G6,0)</f>
        <v>0</v>
      </c>
      <c r="H7" s="5">
        <f>IFERROR(H35*H6,0)</f>
        <v>6.1307142857142862</v>
      </c>
      <c r="I7" s="5">
        <f>IFERROR(I35*I6,0)</f>
        <v>6.1307142857142862</v>
      </c>
      <c r="J7" s="32" t="s">
        <v>0</v>
      </c>
      <c r="K7" s="5">
        <f>K35*K6</f>
        <v>6.1307142857142862</v>
      </c>
      <c r="L7" s="5">
        <f>L35*L6</f>
        <v>6.1307142857142862</v>
      </c>
      <c r="M7" s="5">
        <f>IFERROR(M35*M6,0)</f>
        <v>0</v>
      </c>
      <c r="N7" s="30" t="s">
        <v>0</v>
      </c>
      <c r="O7"/>
    </row>
    <row r="8" spans="1:17">
      <c r="A8" s="49"/>
      <c r="B8" s="51" t="str">
        <f>단면성능!A66</f>
        <v>R-STUD</v>
      </c>
      <c r="C8" s="57" t="b">
        <f t="shared" si="0"/>
        <v>0</v>
      </c>
      <c r="D8" s="79">
        <v>1</v>
      </c>
      <c r="F8" s="7" t="s">
        <v>107</v>
      </c>
      <c r="G8" s="32" t="s">
        <v>0</v>
      </c>
      <c r="H8" s="32" t="s">
        <v>0</v>
      </c>
      <c r="I8" s="32" t="s">
        <v>0</v>
      </c>
      <c r="J8" s="5">
        <f>VLOOKUP(J4,단면성능!$B$6:$N$69,4,FALSE)</f>
        <v>0.8</v>
      </c>
      <c r="K8" s="32" t="s">
        <v>0</v>
      </c>
      <c r="L8" s="32" t="s">
        <v>0</v>
      </c>
      <c r="M8" s="32" t="s">
        <v>0</v>
      </c>
      <c r="N8" s="30" t="s">
        <v>0</v>
      </c>
      <c r="O8"/>
    </row>
    <row r="9" spans="1:17">
      <c r="A9" s="49"/>
      <c r="B9" s="51" t="str">
        <f>단면성능!A28</f>
        <v>I-STUD</v>
      </c>
      <c r="C9" s="57" t="b">
        <f t="shared" si="0"/>
        <v>0</v>
      </c>
      <c r="D9" s="79">
        <v>1</v>
      </c>
      <c r="F9" s="7" t="s">
        <v>110</v>
      </c>
      <c r="G9" s="32" t="s">
        <v>0</v>
      </c>
      <c r="H9" s="32" t="s">
        <v>0</v>
      </c>
      <c r="I9" s="32" t="s">
        <v>0</v>
      </c>
      <c r="J9" s="34">
        <f>VLOOKUP(SUBSTITUTE(VAR.!J4,"S-","S"),Property_Stud!B:F,4,)</f>
        <v>10</v>
      </c>
      <c r="K9" s="32" t="s">
        <v>0</v>
      </c>
      <c r="L9" s="32" t="s">
        <v>0</v>
      </c>
      <c r="M9" s="32" t="s">
        <v>0</v>
      </c>
      <c r="N9" s="30" t="s">
        <v>0</v>
      </c>
      <c r="O9"/>
    </row>
    <row r="10" spans="1:17">
      <c r="A10" s="49"/>
      <c r="B10" s="51" t="str">
        <f>단면성능!A6</f>
        <v>HR-STUD</v>
      </c>
      <c r="C10" s="57" t="b">
        <f t="shared" si="0"/>
        <v>0</v>
      </c>
      <c r="D10" s="79">
        <v>1</v>
      </c>
      <c r="F10" s="7" t="s">
        <v>111</v>
      </c>
      <c r="G10" s="5">
        <f>VAR.!G7*VAR.!G5</f>
        <v>0</v>
      </c>
      <c r="H10" s="5">
        <f>VAR.!H7*VAR.!H5</f>
        <v>116.48357142857144</v>
      </c>
      <c r="I10" s="5">
        <f>VAR.!I7*VAR.!I5</f>
        <v>116.48357142857144</v>
      </c>
      <c r="J10" s="5">
        <f>IF(OR(C12=TRUE,C13=TRUE),2,1)*VLOOKUP(J4,단면성능!$B$6:$N$69,5,FALSE)</f>
        <v>264.32</v>
      </c>
      <c r="K10" s="5">
        <f>VAR.!K7*VAR.!K5</f>
        <v>116.48357142857144</v>
      </c>
      <c r="L10" s="5">
        <f>VAR.!L7*VAR.!L5</f>
        <v>116.48357142857144</v>
      </c>
      <c r="M10" s="5">
        <f>VAR.!M7*VAR.!M5</f>
        <v>0</v>
      </c>
      <c r="N10" s="31">
        <f>SUM(G10:M10)</f>
        <v>730.25428571428563</v>
      </c>
      <c r="O10"/>
    </row>
    <row r="11" spans="1:17">
      <c r="A11" s="49"/>
      <c r="B11" s="51" t="str">
        <f>단면성능!A41</f>
        <v>RV-STUD</v>
      </c>
      <c r="C11" s="57" t="b">
        <f t="shared" si="0"/>
        <v>0</v>
      </c>
      <c r="D11" s="79">
        <v>1</v>
      </c>
      <c r="F11" s="7" t="s">
        <v>113</v>
      </c>
      <c r="G11" s="64">
        <f>IFERROR(G12*100/(G6*10^-3*G5*10^-3),0)</f>
        <v>0</v>
      </c>
      <c r="H11" s="64">
        <f>IFERROR(H12*100/(H6*10^-3*H5*10^-3),0)</f>
        <v>831.26842105263165</v>
      </c>
      <c r="I11" s="64">
        <f>IFERROR(I12*100/(I6*10^-3*I5*10^-3),0)</f>
        <v>831.26842105263165</v>
      </c>
      <c r="J11" s="32">
        <v>76.5</v>
      </c>
      <c r="K11" s="64">
        <f>K12*100/(K6*10^-3*K5*10^-3)</f>
        <v>831.26842105263165</v>
      </c>
      <c r="L11" s="64">
        <f>L12*100/(L6*10^-3*L5*10^-3)</f>
        <v>831.26842105263165</v>
      </c>
      <c r="M11" s="64">
        <f>IFERROR(M12*100/(M6*10^-3*M5*10^-3),0)</f>
        <v>0</v>
      </c>
      <c r="N11" s="31"/>
      <c r="O11" s="29"/>
    </row>
    <row r="12" spans="1:17">
      <c r="A12" s="49"/>
      <c r="B12" s="51" t="s">
        <v>298</v>
      </c>
      <c r="C12" s="57" t="b">
        <f t="shared" si="0"/>
        <v>1</v>
      </c>
      <c r="D12" s="79">
        <v>1</v>
      </c>
      <c r="F12" s="7" t="s">
        <v>114</v>
      </c>
      <c r="G12" s="5">
        <f>IFERROR(VLOOKUP(G4,Property_Gymsumboard!$R$23:$W$32,MATCH(VAR.!G5,Property_Gymsumboard!$S$23:$W$23,0)+1,)*9.81*G6*10^-6,0)</f>
        <v>0</v>
      </c>
      <c r="H12" s="5">
        <f>IFERROR(VLOOKUP(H4,Property_Gymsumboard!$R$23:$W$32,MATCH(VAR.!H5,Property_Gymsumboard!$S$23:$W$23,0)+1,)*9.81*H6*10^-6,0)</f>
        <v>7.107345000000001E-2</v>
      </c>
      <c r="I12" s="5">
        <f>IFERROR(VLOOKUP(I4,Property_Gymsumboard!$R$23:$W$32,MATCH(VAR.!I5,Property_Gymsumboard!$S$23:$W$23,0)+1,)*9.81*I6*10^-6,0)</f>
        <v>7.107345000000001E-2</v>
      </c>
      <c r="J12" s="5">
        <f>J10*J11*10^-6</f>
        <v>2.0220479999999999E-2</v>
      </c>
      <c r="K12" s="5">
        <f>VLOOKUP(K4,Property_Gymsumboard!$R$23:$W$32,MATCH(VAR.!K5,Property_Gymsumboard!$S$23:$W$23,0)+1,)*9.81*K6*10^-6</f>
        <v>7.107345000000001E-2</v>
      </c>
      <c r="L12" s="5">
        <f>VLOOKUP(L4,Property_Gymsumboard!$R$23:$W$32,MATCH(VAR.!L5,Property_Gymsumboard!$S$23:$W$23,0)+1,)*9.81*L6*10^-6</f>
        <v>7.107345000000001E-2</v>
      </c>
      <c r="M12" s="5">
        <f>IFERROR(VLOOKUP(M4,Property_Gymsumboard!$R$23:$W$32,MATCH(VAR.!M5,Property_Gymsumboard!$S$23:$W$23,0)+1,)*9.81*M6*10^-6,0)</f>
        <v>0</v>
      </c>
      <c r="N12" s="31">
        <f>SUM(J12:M12)</f>
        <v>0.16236738000000001</v>
      </c>
      <c r="O12" s="29"/>
    </row>
    <row r="13" spans="1:17">
      <c r="A13" s="49"/>
      <c r="B13" s="51" t="s">
        <v>299</v>
      </c>
      <c r="C13" s="57" t="b">
        <f t="shared" si="0"/>
        <v>0</v>
      </c>
      <c r="D13" s="79">
        <v>0.45</v>
      </c>
      <c r="F13" s="7" t="s">
        <v>115</v>
      </c>
      <c r="G13" s="5">
        <f t="shared" ref="G13:M13" si="1">G12*$C$20*10^-3</f>
        <v>0</v>
      </c>
      <c r="H13" s="5">
        <f t="shared" si="1"/>
        <v>0.53305087500000015</v>
      </c>
      <c r="I13" s="5">
        <f t="shared" si="1"/>
        <v>0.53305087500000015</v>
      </c>
      <c r="J13" s="5">
        <f t="shared" si="1"/>
        <v>0.1516536</v>
      </c>
      <c r="K13" s="5">
        <f t="shared" si="1"/>
        <v>0.53305087500000015</v>
      </c>
      <c r="L13" s="5">
        <f t="shared" si="1"/>
        <v>0.53305087500000015</v>
      </c>
      <c r="M13" s="5">
        <f t="shared" si="1"/>
        <v>0</v>
      </c>
      <c r="N13" s="31">
        <f>SUM(G13:M13)</f>
        <v>2.2838571000000005</v>
      </c>
      <c r="O13" s="29"/>
    </row>
    <row r="14" spans="1:17">
      <c r="A14" s="49"/>
      <c r="B14" s="51"/>
      <c r="C14" s="57" t="b">
        <f t="shared" si="0"/>
        <v>0</v>
      </c>
      <c r="D14" s="79">
        <v>1</v>
      </c>
      <c r="F14" s="7" t="s">
        <v>146</v>
      </c>
      <c r="G14" s="5">
        <f>G5/2</f>
        <v>0</v>
      </c>
      <c r="H14" s="5">
        <f>G5+H5/2</f>
        <v>9.5</v>
      </c>
      <c r="I14" s="5">
        <f>SUM($G$5:H5)+I5/2</f>
        <v>28.5</v>
      </c>
      <c r="J14" s="5">
        <f>IF(C13=TRUE,2*VLOOKUP(J4,단면성능!B6:H69,7,)+SUM($G$5:I5),IF(OR(C5=TRUE, C6=TRUE), 1, IF(C8=TRUE, 12.5,0)+SUM($G$5:I5))+VLOOKUP(J4,단면성능!B6:H69,7,))</f>
        <v>63</v>
      </c>
      <c r="K14" s="5">
        <f>IF(OR(C5=TRUE, C6=TRUE), 1, IF(C8=TRUE, 25,0)+SUM($G$5:I5))+J5+K5/2</f>
        <v>97.5</v>
      </c>
      <c r="L14" s="5">
        <f>IF(OR(C5=TRUE, C6=TRUE), 1, IF(C8=TRUE, 25,0)+SUM($G$5:K5))+L5/2</f>
        <v>116.5</v>
      </c>
      <c r="M14" s="5">
        <f>IF(OR(C5=TRUE, C6=TRUE), 1, IF(C8=TRUE, 25,0)+SUM($G$5:L5))+M5/2</f>
        <v>126</v>
      </c>
      <c r="N14" s="30" t="s">
        <v>0</v>
      </c>
      <c r="O14" s="29"/>
    </row>
    <row r="15" spans="1:17">
      <c r="A15" s="49"/>
      <c r="B15" s="51"/>
      <c r="C15" s="57" t="b">
        <f t="shared" si="0"/>
        <v>0</v>
      </c>
      <c r="D15" s="79">
        <v>1</v>
      </c>
      <c r="F15" s="107" t="s">
        <v>118</v>
      </c>
      <c r="G15" s="102" t="s">
        <v>119</v>
      </c>
      <c r="H15" s="103"/>
      <c r="I15" s="103"/>
      <c r="J15" s="103"/>
      <c r="K15" s="103"/>
      <c r="L15" s="103"/>
      <c r="M15" s="104"/>
      <c r="N15" s="105">
        <f>SUM(G16:M16)/VAR.!N10</f>
        <v>63.000000000000014</v>
      </c>
      <c r="O15" s="29"/>
    </row>
    <row r="16" spans="1:17">
      <c r="A16" s="49"/>
      <c r="B16" s="51" t="str">
        <f>단면성능!A35</f>
        <v>MP-STUD</v>
      </c>
      <c r="C16" s="57" t="b">
        <f t="shared" si="0"/>
        <v>0</v>
      </c>
      <c r="D16" s="79">
        <v>1</v>
      </c>
      <c r="F16" s="108"/>
      <c r="G16" s="5">
        <f t="shared" ref="G16:M16" si="2">G10*G14</f>
        <v>0</v>
      </c>
      <c r="H16" s="5">
        <f t="shared" si="2"/>
        <v>1106.5939285714287</v>
      </c>
      <c r="I16" s="5">
        <f t="shared" si="2"/>
        <v>3319.7817857142859</v>
      </c>
      <c r="J16" s="5">
        <f t="shared" si="2"/>
        <v>16652.16</v>
      </c>
      <c r="K16" s="5">
        <f t="shared" si="2"/>
        <v>11357.148214285715</v>
      </c>
      <c r="L16" s="5">
        <f t="shared" si="2"/>
        <v>13570.336071428572</v>
      </c>
      <c r="M16" s="5">
        <f t="shared" si="2"/>
        <v>0</v>
      </c>
      <c r="N16" s="106"/>
      <c r="O16" s="29"/>
    </row>
    <row r="17" spans="1:19" ht="16.5" customHeight="1" thickBot="1">
      <c r="A17" s="49"/>
      <c r="B17" s="51"/>
      <c r="C17" s="57"/>
      <c r="F17" s="7" t="s">
        <v>145</v>
      </c>
      <c r="G17" s="5">
        <f t="shared" ref="G17:M17" si="3">G14-$N$15</f>
        <v>-63.000000000000014</v>
      </c>
      <c r="H17" s="5">
        <f t="shared" si="3"/>
        <v>-53.500000000000014</v>
      </c>
      <c r="I17" s="5">
        <f t="shared" si="3"/>
        <v>-34.500000000000014</v>
      </c>
      <c r="J17" s="5">
        <f t="shared" si="3"/>
        <v>0</v>
      </c>
      <c r="K17" s="5">
        <f t="shared" si="3"/>
        <v>34.499999999999986</v>
      </c>
      <c r="L17" s="5">
        <f t="shared" si="3"/>
        <v>53.499999999999986</v>
      </c>
      <c r="M17" s="5">
        <f t="shared" si="3"/>
        <v>62.999999999999986</v>
      </c>
      <c r="N17" s="30" t="s">
        <v>0</v>
      </c>
      <c r="O17" s="29"/>
    </row>
    <row r="18" spans="1:19">
      <c r="A18" s="99" t="s">
        <v>108</v>
      </c>
      <c r="B18" s="19" t="s">
        <v>109</v>
      </c>
      <c r="C18" s="59">
        <v>240</v>
      </c>
      <c r="D18" s="77"/>
      <c r="F18" s="107" t="s">
        <v>122</v>
      </c>
      <c r="G18" s="24">
        <f>1/12*VAR.!G7*VAR.!G5^3</f>
        <v>0</v>
      </c>
      <c r="H18" s="24">
        <f>1/12*VAR.!H7*VAR.!H5^3</f>
        <v>3504.2141071428573</v>
      </c>
      <c r="I18" s="24">
        <f>1/12*VAR.!I7*VAR.!I5^3</f>
        <v>3504.2141071428573</v>
      </c>
      <c r="J18" s="24">
        <f>VLOOKUP(J4,단면성능!$B$6:$N$69,8,FALSE)*IF(C12=TRUE,2,1)</f>
        <v>116980</v>
      </c>
      <c r="K18" s="24">
        <f>1/12*VAR.!K7*VAR.!K5^3</f>
        <v>3504.2141071428573</v>
      </c>
      <c r="L18" s="24">
        <f>1/12*VAR.!L7*VAR.!L5^3</f>
        <v>3504.2141071428573</v>
      </c>
      <c r="M18" s="24">
        <f>1/12*VAR.!M7*VAR.!M5^3</f>
        <v>0</v>
      </c>
      <c r="N18" s="30" t="s">
        <v>0</v>
      </c>
      <c r="O18" s="29" t="s">
        <v>123</v>
      </c>
    </row>
    <row r="19" spans="1:19">
      <c r="A19" s="100"/>
      <c r="B19" s="3" t="s">
        <v>301</v>
      </c>
      <c r="C19" s="42">
        <v>450</v>
      </c>
      <c r="D19" s="77"/>
      <c r="F19" s="108"/>
      <c r="G19" s="24">
        <f>VAR.!G10*(VAR.!G14-VAR.!$N$15)^2+VAR.!G18</f>
        <v>0</v>
      </c>
      <c r="H19" s="24">
        <f>VAR.!H10*(VAR.!H14-VAR.!$N$15)^2+VAR.!H18</f>
        <v>336909.31642857165</v>
      </c>
      <c r="I19" s="24">
        <f>VAR.!I10*(VAR.!I14-VAR.!$N$15)^2+VAR.!I18</f>
        <v>142148.78500000012</v>
      </c>
      <c r="J19" s="24">
        <f>VAR.!J10*(VAR.!J14-VAR.!$N$15)^2+VAR.!J18</f>
        <v>116980</v>
      </c>
      <c r="K19" s="24">
        <f>VAR.!K10*(VAR.!K14-VAR.!$N$15)^2+VAR.!K18</f>
        <v>142148.78499999989</v>
      </c>
      <c r="L19" s="24">
        <f>VAR.!L10*(VAR.!L14-VAR.!$N$15)^2+VAR.!L18</f>
        <v>336909.3164285713</v>
      </c>
      <c r="M19" s="24">
        <f>VAR.!M10*(VAR.!M14-VAR.!$N$15)^2+VAR.!M18</f>
        <v>0</v>
      </c>
      <c r="N19" s="25">
        <f>SUM(G19:M19)</f>
        <v>1075096.202857143</v>
      </c>
      <c r="O19" s="29" t="s">
        <v>125</v>
      </c>
    </row>
    <row r="20" spans="1:19">
      <c r="A20" s="100"/>
      <c r="B20" s="3" t="s">
        <v>112</v>
      </c>
      <c r="C20" s="42">
        <v>7500</v>
      </c>
      <c r="D20" s="77"/>
      <c r="F20" s="35" t="s">
        <v>134</v>
      </c>
      <c r="G20" s="24">
        <f>IFERROR(G32*G6*G5*10^-3,0)</f>
        <v>0</v>
      </c>
      <c r="H20" s="24">
        <f>IFERROR(H32*H6*H5*10^-3,0)</f>
        <v>68.305263157894743</v>
      </c>
      <c r="I20" s="24">
        <f>IFERROR(I32*I6*I5*10^-3,0)</f>
        <v>68.305263157894743</v>
      </c>
      <c r="J20" s="5">
        <f>J10*J32*10^-3</f>
        <v>72.688000000000002</v>
      </c>
      <c r="K20" s="24">
        <f>IFERROR(K32*K6*K5*10^-3,0)</f>
        <v>68.305263157894743</v>
      </c>
      <c r="L20" s="24">
        <f>IFERROR(L32*L6*L5*10^-3,0)</f>
        <v>68.305263157894743</v>
      </c>
      <c r="M20" s="24">
        <f>IFERROR(M32*M6*M5*10^-3,0)</f>
        <v>0</v>
      </c>
      <c r="N20" s="25"/>
      <c r="O20" s="29"/>
    </row>
    <row r="21" spans="1:19">
      <c r="A21" s="100"/>
      <c r="B21" s="3" t="s">
        <v>116</v>
      </c>
      <c r="C21" s="31">
        <f>C3/N36*1.67</f>
        <v>0.35763083301814474</v>
      </c>
      <c r="D21" s="80"/>
      <c r="F21" s="35" t="s">
        <v>135</v>
      </c>
      <c r="G21" s="24">
        <v>2</v>
      </c>
      <c r="H21" s="24">
        <f>IF(H4="----",0,IF(G4="----",2,3))</f>
        <v>2</v>
      </c>
      <c r="I21" s="24">
        <v>1</v>
      </c>
      <c r="J21" s="24"/>
      <c r="K21" s="24">
        <v>1</v>
      </c>
      <c r="L21" s="24">
        <v>2</v>
      </c>
      <c r="M21" s="24">
        <v>2</v>
      </c>
      <c r="N21" s="25"/>
      <c r="O21" s="29"/>
    </row>
    <row r="22" spans="1:19" ht="16.5" customHeight="1">
      <c r="A22" s="100"/>
      <c r="B22" s="3" t="s">
        <v>117</v>
      </c>
      <c r="C22" s="60">
        <f>5*(C2*C19*9.81*10^-6)*C20^4/(384*J34*S26)</f>
        <v>30.584992671447669</v>
      </c>
      <c r="D22" s="81"/>
      <c r="F22" s="35" t="s">
        <v>140</v>
      </c>
      <c r="G22" s="24">
        <f>$C$31*G21</f>
        <v>1884.2016099170141</v>
      </c>
      <c r="H22" s="24">
        <f>$C$31*H21</f>
        <v>1884.2016099170141</v>
      </c>
      <c r="I22" s="24">
        <f>$C$31*I21</f>
        <v>942.10080495850707</v>
      </c>
      <c r="J22" s="24"/>
      <c r="K22" s="24">
        <f>$C$31*K21</f>
        <v>942.10080495850707</v>
      </c>
      <c r="L22" s="24">
        <f>$C$31*L21</f>
        <v>1884.2016099170141</v>
      </c>
      <c r="M22" s="24">
        <f>$C$31*M21</f>
        <v>1884.2016099170141</v>
      </c>
      <c r="N22" s="25"/>
      <c r="O22" s="29"/>
    </row>
    <row r="23" spans="1:19">
      <c r="A23" s="100"/>
      <c r="B23" s="3" t="s">
        <v>120</v>
      </c>
      <c r="C23" s="44">
        <f>C20/C18</f>
        <v>31.25</v>
      </c>
      <c r="D23" s="82"/>
      <c r="F23" s="35" t="s">
        <v>144</v>
      </c>
      <c r="G23" s="24">
        <f>2*0.85*G5*G21*$C$27*G33</f>
        <v>0</v>
      </c>
      <c r="H23" s="24">
        <f>2*0.85*H5*H21*$C$27*H33</f>
        <v>3391.4999999999995</v>
      </c>
      <c r="I23" s="24">
        <f>2*0.85*I5*I21*$C$27*I33</f>
        <v>1695.7499999999998</v>
      </c>
      <c r="J23" s="24">
        <f>2*0.85*J8*K21*$C$27*J33</f>
        <v>1951.6000000000004</v>
      </c>
      <c r="K23" s="24">
        <f>2*0.85*K5*K21*$C$27*K33</f>
        <v>1695.7499999999998</v>
      </c>
      <c r="L23" s="24">
        <f>2*0.85*L5*L21*$C$27*L33</f>
        <v>3391.4999999999995</v>
      </c>
      <c r="M23" s="24">
        <f>2*0.85*M5*M21*$C$27*M33</f>
        <v>0</v>
      </c>
      <c r="N23" s="25"/>
      <c r="O23" s="29"/>
    </row>
    <row r="24" spans="1:19">
      <c r="A24" s="100"/>
      <c r="B24" s="3" t="s">
        <v>121</v>
      </c>
      <c r="C24" s="43" t="str">
        <f>IF(C22&gt;C23,"N.G","O.K")</f>
        <v>O.K</v>
      </c>
      <c r="D24" s="83"/>
      <c r="F24" s="35" t="s">
        <v>143</v>
      </c>
      <c r="G24" s="5">
        <f>MIN(G22,G23)*($C$20/2)/$C$34*10^-3</f>
        <v>0</v>
      </c>
      <c r="H24" s="5">
        <f>MIN(H22,H23)*($C$20/2)/$C$33*10^-3</f>
        <v>23.552520123962676</v>
      </c>
      <c r="I24" s="5">
        <f>MIN(I22,I23)*($C$20/2)/$C$32*10^-3</f>
        <v>5.888130030990669</v>
      </c>
      <c r="K24" s="5">
        <f>MIN(K22,K23)*($C$20/2)/$C$32*10^-3</f>
        <v>5.888130030990669</v>
      </c>
      <c r="L24" s="5">
        <f>MIN(L22,L23)*($C$20/2)/$C$33*10^-3</f>
        <v>23.552520123962676</v>
      </c>
      <c r="M24" s="5">
        <f>MIN(M22,M23)*($C$20/2)/$C$34*10^-3</f>
        <v>0</v>
      </c>
      <c r="N24" s="25"/>
      <c r="O24" s="29"/>
    </row>
    <row r="25" spans="1:19" ht="17.25" thickBot="1">
      <c r="A25" s="101"/>
      <c r="B25" s="33" t="s">
        <v>124</v>
      </c>
      <c r="C25" s="36" t="str">
        <f>IF(C21&gt;1,"N.G","O.K")</f>
        <v>O.K</v>
      </c>
      <c r="D25" s="83"/>
      <c r="F25" s="35" t="s">
        <v>306</v>
      </c>
      <c r="G25" s="5">
        <f>MIN(G20,G24)</f>
        <v>0</v>
      </c>
      <c r="H25" s="5">
        <f>G25+MIN(H20,G24+H24)</f>
        <v>23.552520123962676</v>
      </c>
      <c r="I25" s="5">
        <f>H25+MIN(I20,G24+H24+I24)</f>
        <v>52.993170278916025</v>
      </c>
      <c r="K25" s="5">
        <f>L25+MIN(K20,M24+L24+K24)</f>
        <v>52.993170278916025</v>
      </c>
      <c r="L25" s="5">
        <f>M25+MIN(L20,M24+L24)</f>
        <v>23.552520123962676</v>
      </c>
      <c r="M25" s="5">
        <f>MIN(M20,M24)</f>
        <v>0</v>
      </c>
      <c r="N25" s="25"/>
      <c r="O25" s="29"/>
      <c r="R25" s="1" t="s">
        <v>300</v>
      </c>
      <c r="S25" s="1" t="s">
        <v>307</v>
      </c>
    </row>
    <row r="26" spans="1:19" ht="17.25" thickBot="1">
      <c r="F26" s="45" t="s">
        <v>147</v>
      </c>
      <c r="G26" s="46" t="e">
        <f>G25/MIN(G20,H20+$I$20)</f>
        <v>#DIV/0!</v>
      </c>
      <c r="H26" s="46">
        <f>H25/MIN(H20,I20+$J$20)</f>
        <v>0.3448126694061418</v>
      </c>
      <c r="I26" s="46">
        <f>IF(OR(C5=TRUE,C6=TRUE),1,I25/$J$20)</f>
        <v>0.72904977821533157</v>
      </c>
      <c r="J26" s="24"/>
      <c r="K26" s="46">
        <f>IF(OR(C5=TRUE,C6=TRUE),1,K25/$J$20)</f>
        <v>0.72904977821533157</v>
      </c>
      <c r="L26" s="46">
        <f>L25/MIN(L20,K20+$J$20)</f>
        <v>0.3448126694061418</v>
      </c>
      <c r="M26" s="46" t="e">
        <f>G25/MIN(G20,H20+$I$20)</f>
        <v>#DIV/0!</v>
      </c>
      <c r="N26" s="47">
        <f>_xlfn.MINIFS(G26:M26,G26:M26, "&gt;0")</f>
        <v>0.3448126694061418</v>
      </c>
      <c r="O26" s="29"/>
      <c r="R26" s="1">
        <v>1</v>
      </c>
      <c r="S26" s="1">
        <f>N27*R26</f>
        <v>679593.03760699439</v>
      </c>
    </row>
    <row r="27" spans="1:19">
      <c r="A27" s="99" t="s">
        <v>149</v>
      </c>
      <c r="B27" s="19" t="s">
        <v>136</v>
      </c>
      <c r="C27" s="59">
        <v>3.5</v>
      </c>
      <c r="D27" s="77"/>
      <c r="F27" s="7" t="s">
        <v>126</v>
      </c>
      <c r="G27" s="32" t="s">
        <v>0</v>
      </c>
      <c r="H27" s="32" t="s">
        <v>0</v>
      </c>
      <c r="I27" s="32" t="s">
        <v>0</v>
      </c>
      <c r="J27" s="32" t="s">
        <v>0</v>
      </c>
      <c r="K27" s="32" t="s">
        <v>0</v>
      </c>
      <c r="L27" s="32" t="s">
        <v>0</v>
      </c>
      <c r="M27" s="32" t="s">
        <v>0</v>
      </c>
      <c r="N27" s="37">
        <f>J19+SQRT(N26)*(N19-J19)</f>
        <v>679593.03760699439</v>
      </c>
      <c r="O27" s="29" t="s">
        <v>127</v>
      </c>
    </row>
    <row r="28" spans="1:19">
      <c r="A28" s="100"/>
      <c r="B28" s="3" t="s">
        <v>138</v>
      </c>
      <c r="C28" s="42">
        <v>480</v>
      </c>
      <c r="D28" s="77"/>
      <c r="F28" s="7" t="s">
        <v>128</v>
      </c>
      <c r="G28" s="24"/>
      <c r="H28" s="24"/>
      <c r="I28" s="24"/>
      <c r="J28" s="24">
        <f>J19/J5*2</f>
        <v>4679.2</v>
      </c>
      <c r="K28" s="24"/>
      <c r="L28" s="24"/>
      <c r="M28" s="24"/>
      <c r="N28" s="30" t="s">
        <v>0</v>
      </c>
      <c r="O28" s="29"/>
    </row>
    <row r="29" spans="1:19" ht="17.25" thickBot="1">
      <c r="A29" s="100"/>
      <c r="B29" s="3" t="s">
        <v>137</v>
      </c>
      <c r="C29" s="42">
        <f>C28*0.85</f>
        <v>408</v>
      </c>
      <c r="D29" s="77"/>
      <c r="F29" s="8" t="s">
        <v>129</v>
      </c>
      <c r="G29" s="53"/>
      <c r="H29" s="53"/>
      <c r="I29" s="53"/>
      <c r="J29" s="53">
        <f>J19/-J5*2</f>
        <v>-4679.2</v>
      </c>
      <c r="K29" s="53"/>
      <c r="L29" s="53"/>
      <c r="M29" s="53" t="s">
        <v>297</v>
      </c>
      <c r="N29" s="38" t="s">
        <v>0</v>
      </c>
      <c r="O29" s="39"/>
      <c r="Q29" s="2"/>
    </row>
    <row r="30" spans="1:19" ht="17.25" thickBot="1">
      <c r="A30" s="100"/>
      <c r="B30" s="3" t="s">
        <v>139</v>
      </c>
      <c r="C30" s="42">
        <f>C29*0.6</f>
        <v>244.79999999999998</v>
      </c>
      <c r="D30" s="77"/>
      <c r="F30" s="2"/>
      <c r="G30" s="54"/>
      <c r="H30" s="54"/>
      <c r="I30" s="54"/>
      <c r="J30" s="54"/>
      <c r="K30" s="54"/>
      <c r="L30" s="54"/>
      <c r="M30" s="54"/>
      <c r="N30" s="55"/>
      <c r="O30" s="2"/>
      <c r="Q30" s="2"/>
    </row>
    <row r="31" spans="1:19">
      <c r="A31" s="100"/>
      <c r="B31" s="3" t="s">
        <v>141</v>
      </c>
      <c r="C31" s="61">
        <f>0.5*C30*PI()/4*C27^2 / 1.25</f>
        <v>942.10080495850707</v>
      </c>
      <c r="D31" s="84"/>
      <c r="F31" s="96" t="s">
        <v>130</v>
      </c>
      <c r="G31" s="97"/>
      <c r="H31" s="97"/>
      <c r="I31" s="97"/>
      <c r="J31" s="97"/>
      <c r="K31" s="97"/>
      <c r="L31" s="97"/>
      <c r="M31" s="97"/>
      <c r="N31" s="97"/>
      <c r="O31" s="98"/>
    </row>
    <row r="32" spans="1:19">
      <c r="A32" s="100"/>
      <c r="B32" s="3" t="s">
        <v>303</v>
      </c>
      <c r="C32" s="42">
        <v>600</v>
      </c>
      <c r="D32" s="87">
        <v>1</v>
      </c>
      <c r="F32" s="7" t="s">
        <v>131</v>
      </c>
      <c r="G32" s="5">
        <f>IFERROR(VLOOKUP(G4,Property_Gymsumboard!$K$47:$P$56,MATCH(VAR.!G5,Property_Gymsumboard!$S$23:$W$23,0)+1,),0)</f>
        <v>0</v>
      </c>
      <c r="H32" s="5">
        <f>VLOOKUP(H4,Property_Gymsumboard!$K$47:$P$56,MATCH(VAR.!H5,Property_Gymsumboard!$S$23:$W$23,0)+1,)</f>
        <v>7.9889196675900287</v>
      </c>
      <c r="I32" s="5">
        <f>VLOOKUP(I4,Property_Gymsumboard!$K$47:$P$56,MATCH(VAR.!I5,Property_Gymsumboard!$S$23:$W$23,0)+1,)</f>
        <v>7.9889196675900287</v>
      </c>
      <c r="J32" s="24">
        <v>275</v>
      </c>
      <c r="K32" s="5">
        <f>VLOOKUP(K4,Property_Gymsumboard!$K$47:$P$56,MATCH(VAR.!K5,Property_Gymsumboard!$S$23:$W$23,0)+1,)</f>
        <v>7.9889196675900287</v>
      </c>
      <c r="L32" s="5">
        <f>VLOOKUP(L4,Property_Gymsumboard!$K$47:$P$56,MATCH(VAR.!L5,Property_Gymsumboard!$S$23:$W$23,0)+1,)</f>
        <v>7.9889196675900287</v>
      </c>
      <c r="M32" s="5" t="e">
        <f>VLOOKUP(M4,Property_Gymsumboard!$K$47:$P$56,MATCH(VAR.!M5,Property_Gymsumboard!$S$23:$W$23,0)+1,)</f>
        <v>#N/A</v>
      </c>
      <c r="N32" s="11"/>
      <c r="O32" s="40"/>
    </row>
    <row r="33" spans="1:15" ht="17.25" thickBot="1">
      <c r="A33" s="101"/>
      <c r="B33" s="33" t="s">
        <v>304</v>
      </c>
      <c r="C33" s="62">
        <v>300</v>
      </c>
      <c r="D33" s="87">
        <v>2</v>
      </c>
      <c r="F33" s="7" t="s">
        <v>142</v>
      </c>
      <c r="G33" s="24">
        <v>15</v>
      </c>
      <c r="H33" s="24">
        <v>15</v>
      </c>
      <c r="I33" s="24">
        <v>15</v>
      </c>
      <c r="J33" s="24">
        <v>410</v>
      </c>
      <c r="K33" s="24">
        <v>15</v>
      </c>
      <c r="L33" s="24">
        <v>15</v>
      </c>
      <c r="M33" s="24">
        <v>15</v>
      </c>
      <c r="N33" s="11"/>
      <c r="O33" s="40"/>
    </row>
    <row r="34" spans="1:15" ht="17.25" thickBot="1">
      <c r="B34" s="33" t="s">
        <v>305</v>
      </c>
      <c r="C34" s="62">
        <v>300</v>
      </c>
      <c r="D34" s="1">
        <v>2</v>
      </c>
      <c r="F34" s="7" t="s">
        <v>132</v>
      </c>
      <c r="G34" s="34" t="e">
        <f>VLOOKUP(G4,Property_Gymsumboard!$Y$23:$AD$32,MATCH(VAR.!G5,Property_Gymsumboard!$S$23:$W$23,0)+1,)*10^3</f>
        <v>#N/A</v>
      </c>
      <c r="H34" s="34">
        <f>VLOOKUP(H4,Property_Gymsumboard!$Y$23:$AD$32,MATCH(VAR.!H5,Property_Gymsumboard!$S$23:$W$23,0)+1,)*10^3</f>
        <v>2861</v>
      </c>
      <c r="I34" s="34">
        <f>VLOOKUP(I4,Property_Gymsumboard!$Y$23:$AD$32,MATCH(VAR.!I5,Property_Gymsumboard!$S$23:$W$23,0)+1,)*10^3</f>
        <v>2861</v>
      </c>
      <c r="J34" s="24">
        <v>210000</v>
      </c>
      <c r="K34" s="34">
        <f>VLOOKUP(K4,Property_Gymsumboard!$Y$23:$AD$32,MATCH(VAR.!K5,Property_Gymsumboard!$S$23:$W$23,0)+1,)*10^3</f>
        <v>2861</v>
      </c>
      <c r="L34" s="34">
        <f>VLOOKUP(L4,Property_Gymsumboard!$Y$23:$AD$32,MATCH(VAR.!L5,Property_Gymsumboard!$S$23:$W$23,0)+1,)*10^3</f>
        <v>2861</v>
      </c>
      <c r="M34" s="34" t="e">
        <f>VLOOKUP(M4,Property_Gymsumboard!$Y$23:$AD$32,MATCH(VAR.!M5,Property_Gymsumboard!$S$23:$W$23,0)+1,)*10^3</f>
        <v>#N/A</v>
      </c>
      <c r="N34" s="11"/>
      <c r="O34" s="40"/>
    </row>
    <row r="35" spans="1:15">
      <c r="F35" s="7" t="s">
        <v>133</v>
      </c>
      <c r="G35" s="5" t="e">
        <f>VAR.!G34/VAR.!J34</f>
        <v>#N/A</v>
      </c>
      <c r="H35" s="5">
        <f>VAR.!H34/VAR.!J34</f>
        <v>1.3623809523809524E-2</v>
      </c>
      <c r="I35" s="5">
        <f>VAR.!I34/VAR.!J34</f>
        <v>1.3623809523809524E-2</v>
      </c>
      <c r="J35" s="5">
        <v>1</v>
      </c>
      <c r="K35" s="5">
        <f>VAR.!K34/VAR.!J34</f>
        <v>1.3623809523809524E-2</v>
      </c>
      <c r="L35" s="5">
        <f>VAR.!L34/VAR.!J34</f>
        <v>1.3623809523809524E-2</v>
      </c>
      <c r="M35" s="5" t="e">
        <f>VAR.!M34/VAR.!J34</f>
        <v>#N/A</v>
      </c>
      <c r="N35" s="11"/>
      <c r="O35" s="40"/>
    </row>
    <row r="36" spans="1:15" ht="17.25" thickBot="1">
      <c r="A36" s="4" t="s">
        <v>197</v>
      </c>
      <c r="B36" s="4">
        <v>0.24</v>
      </c>
      <c r="C36" s="66">
        <f>1/8*B36*C19*(C20*10^-3)^2*10^-3</f>
        <v>0.75937500000000002</v>
      </c>
      <c r="D36" s="85"/>
      <c r="F36" s="8" t="s">
        <v>148</v>
      </c>
      <c r="G36" s="50">
        <f>ABS(MIN(G20,G25)*G17*10^-3)</f>
        <v>0</v>
      </c>
      <c r="H36" s="50">
        <f>ABS(MIN(H20,H25)*H17*10^-3)</f>
        <v>1.2600598266320036</v>
      </c>
      <c r="I36" s="50">
        <f>ABS(MIN(I20,I25)*I17*10^-3)</f>
        <v>1.8282643746226035</v>
      </c>
      <c r="J36" s="50">
        <f>MAX(ABS(J32*VAR.!J28*10^-6),ABS(J32*VAR.!J29*10^-6))</f>
        <v>1.28678</v>
      </c>
      <c r="K36" s="50">
        <f>ABS(MIN(K20,K25)*K17*10^-3)</f>
        <v>1.8282643746226022</v>
      </c>
      <c r="L36" s="50">
        <f>ABS(MIN(L20,L25)*L17*10^-3)</f>
        <v>1.2600598266320029</v>
      </c>
      <c r="M36" s="50">
        <f>ABS(MIN(M20,M25)*M17*10^-3)</f>
        <v>0</v>
      </c>
      <c r="N36" s="52">
        <f>SUM(G36:M36)</f>
        <v>7.4634284025092121</v>
      </c>
      <c r="O36" s="41"/>
    </row>
    <row r="37" spans="1:15">
      <c r="A37" s="4" t="s">
        <v>189</v>
      </c>
      <c r="B37" s="4" t="s">
        <v>190</v>
      </c>
      <c r="C37" s="6">
        <f>N13</f>
        <v>2.2838571000000005</v>
      </c>
      <c r="D37" s="86"/>
    </row>
    <row r="38" spans="1:15">
      <c r="A38" s="4"/>
      <c r="B38" s="4" t="s">
        <v>192</v>
      </c>
      <c r="C38" s="4">
        <v>1.3</v>
      </c>
    </row>
    <row r="39" spans="1:15">
      <c r="A39" s="4"/>
      <c r="B39" s="4" t="s">
        <v>193</v>
      </c>
      <c r="C39" s="4">
        <v>0.22</v>
      </c>
    </row>
    <row r="40" spans="1:15">
      <c r="A40" s="4"/>
      <c r="B40" s="4" t="s">
        <v>194</v>
      </c>
      <c r="C40" s="4">
        <f>C39*2.5*2/3*C38</f>
        <v>0.47666666666666674</v>
      </c>
    </row>
    <row r="41" spans="1:15">
      <c r="A41" s="4"/>
      <c r="B41" s="4" t="s">
        <v>191</v>
      </c>
      <c r="C41" s="4">
        <f>0.48*VAR.!C40*VAR.!C42*VAR.!C37</f>
        <v>0.78381975672000037</v>
      </c>
    </row>
    <row r="42" spans="1:15">
      <c r="A42" s="4"/>
      <c r="B42" s="4" t="s">
        <v>195</v>
      </c>
      <c r="C42" s="4">
        <v>1.5</v>
      </c>
    </row>
    <row r="43" spans="1:15">
      <c r="A43" s="4"/>
      <c r="B43" s="4" t="s">
        <v>196</v>
      </c>
      <c r="C43" s="66">
        <f>1/4*C41*C20*10^-3</f>
        <v>1.4696620438500005</v>
      </c>
      <c r="D43" s="85"/>
    </row>
    <row r="45" spans="1:15">
      <c r="B45" s="2" t="s">
        <v>198</v>
      </c>
      <c r="C45" s="2"/>
      <c r="D45" s="2"/>
    </row>
    <row r="46" spans="1:15">
      <c r="B46" s="2" t="s">
        <v>199</v>
      </c>
      <c r="C46" s="65">
        <f>C36</f>
        <v>0.75937500000000002</v>
      </c>
      <c r="D46" s="65"/>
    </row>
    <row r="47" spans="1:15">
      <c r="B47" s="2" t="s">
        <v>200</v>
      </c>
      <c r="C47" s="65">
        <f>0.7*C43</f>
        <v>1.0287634306950004</v>
      </c>
      <c r="D47" s="65"/>
    </row>
    <row r="48" spans="1:15">
      <c r="B48" s="2" t="s">
        <v>201</v>
      </c>
      <c r="C48" s="65">
        <f>0.75*C36+0.7*C43</f>
        <v>1.5982946806950005</v>
      </c>
      <c r="D48" s="65"/>
    </row>
    <row r="49" spans="2:4">
      <c r="B49" s="2" t="s">
        <v>202</v>
      </c>
      <c r="C49" s="2"/>
      <c r="D49" s="2"/>
    </row>
  </sheetData>
  <mergeCells count="12">
    <mergeCell ref="F31:O31"/>
    <mergeCell ref="A18:A25"/>
    <mergeCell ref="A27:A33"/>
    <mergeCell ref="G15:M15"/>
    <mergeCell ref="N15:N16"/>
    <mergeCell ref="F18:F19"/>
    <mergeCell ref="F15:F16"/>
    <mergeCell ref="F2:F3"/>
    <mergeCell ref="J2:J3"/>
    <mergeCell ref="K2:M2"/>
    <mergeCell ref="G2:I2"/>
    <mergeCell ref="N2:N4"/>
  </mergeCells>
  <phoneticPr fontId="1" type="noConversion"/>
  <dataValidations count="2">
    <dataValidation type="list" allowBlank="1" showInputMessage="1" showErrorMessage="1" sqref="J4" xr:uid="{3609C222-E20E-40E1-B4D2-499658DA02A0}">
      <formula1>StudList</formula1>
    </dataValidation>
    <dataValidation type="list" allowBlank="1" showInputMessage="1" showErrorMessage="1" sqref="A5" xr:uid="{5680C945-B31C-4A41-8B9E-9DF2ECFA83DE}">
      <formula1>$B$4:$B$16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FE63719-0AEF-432A-A506-5AF5164D2A61}">
          <x14:formula1>
            <xm:f>Property_Gymsumboard!$B$34:$B$43</xm:f>
          </x14:formula1>
          <xm:sqref>G4:I4 K4:M4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C3C3D-754B-437F-A045-797FE57B0F4D}">
  <sheetPr codeName="Sheet5"/>
  <dimension ref="A1:AD56"/>
  <sheetViews>
    <sheetView topLeftCell="A6" zoomScale="70" zoomScaleNormal="70" workbookViewId="0">
      <selection activeCell="U31" sqref="U31"/>
    </sheetView>
  </sheetViews>
  <sheetFormatPr defaultColWidth="9.140625" defaultRowHeight="16.5"/>
  <cols>
    <col min="1" max="1" width="9.140625" style="1"/>
    <col min="2" max="2" width="24" style="1" customWidth="1"/>
    <col min="3" max="7" width="12.140625" style="1" customWidth="1"/>
    <col min="8" max="10" width="9.140625" style="1"/>
    <col min="11" max="11" width="17" style="1" customWidth="1"/>
    <col min="12" max="16" width="12.85546875" style="1" customWidth="1"/>
    <col min="17" max="17" width="9.140625" style="1"/>
    <col min="18" max="18" width="15.140625" style="1" bestFit="1" customWidth="1"/>
    <col min="19" max="24" width="9.140625" style="1"/>
    <col min="25" max="25" width="15.140625" style="1" bestFit="1" customWidth="1"/>
    <col min="26" max="16384" width="9.140625" style="1"/>
  </cols>
  <sheetData>
    <row r="1" spans="1:13">
      <c r="B1" s="1" t="s">
        <v>1</v>
      </c>
    </row>
    <row r="2" spans="1:13">
      <c r="A2" s="4"/>
      <c r="B2" s="4"/>
      <c r="C2" s="4">
        <v>9.5</v>
      </c>
      <c r="D2" s="4">
        <v>12.5</v>
      </c>
      <c r="E2" s="4">
        <v>15</v>
      </c>
      <c r="F2" s="4">
        <v>19</v>
      </c>
      <c r="G2" s="4">
        <v>25</v>
      </c>
      <c r="H2" s="4"/>
      <c r="I2" s="1" t="s">
        <v>2</v>
      </c>
    </row>
    <row r="3" spans="1:13">
      <c r="A3" s="4">
        <v>0</v>
      </c>
      <c r="B3" s="4" t="s">
        <v>3</v>
      </c>
      <c r="C3" s="4">
        <v>360</v>
      </c>
      <c r="D3" s="4">
        <v>500</v>
      </c>
      <c r="E3" s="4">
        <v>650</v>
      </c>
      <c r="F3" s="4">
        <v>756</v>
      </c>
      <c r="G3" s="4">
        <v>1000</v>
      </c>
      <c r="H3" s="4">
        <v>1000000</v>
      </c>
      <c r="I3" s="1">
        <v>650</v>
      </c>
      <c r="J3" s="1">
        <v>1</v>
      </c>
      <c r="K3" s="1" t="str">
        <f>"THK - "&amp;tBoard1</f>
        <v>THK - 19</v>
      </c>
      <c r="L3" s="1" t="str">
        <f>"THK - "&amp;tBoard2</f>
        <v>THK - 19</v>
      </c>
      <c r="M3" s="1" t="str">
        <f>"THK - "&amp;tBoard3</f>
        <v>THK - 100</v>
      </c>
    </row>
    <row r="4" spans="1:13">
      <c r="A4" s="4">
        <v>1</v>
      </c>
      <c r="B4" s="4" t="s">
        <v>4</v>
      </c>
      <c r="C4" s="4">
        <v>360</v>
      </c>
      <c r="D4" s="4">
        <v>500</v>
      </c>
      <c r="E4" s="4">
        <v>650</v>
      </c>
      <c r="F4" s="4">
        <v>756</v>
      </c>
      <c r="G4" s="4">
        <v>1000</v>
      </c>
      <c r="H4" s="4">
        <v>1000000</v>
      </c>
      <c r="I4" s="1">
        <v>650</v>
      </c>
      <c r="J4" s="1">
        <v>2</v>
      </c>
      <c r="K4" s="1" t="str">
        <f>"THK - "&amp;tBoard1</f>
        <v>THK - 19</v>
      </c>
      <c r="L4" s="1" t="str">
        <f>"THK - "&amp;tBoard2</f>
        <v>THK - 19</v>
      </c>
      <c r="M4" s="1" t="str">
        <f>"THK - "&amp;tBoard3</f>
        <v>THK - 100</v>
      </c>
    </row>
    <row r="5" spans="1:13">
      <c r="A5" s="4">
        <v>2</v>
      </c>
      <c r="B5" s="4" t="s">
        <v>5</v>
      </c>
      <c r="C5" s="4">
        <v>360</v>
      </c>
      <c r="D5" s="4">
        <v>500</v>
      </c>
      <c r="E5" s="4">
        <v>650</v>
      </c>
      <c r="F5" s="4">
        <v>756</v>
      </c>
      <c r="G5" s="4">
        <v>1000</v>
      </c>
      <c r="H5" s="4">
        <v>1000000</v>
      </c>
      <c r="I5" s="1">
        <v>750</v>
      </c>
      <c r="J5" s="1">
        <v>3</v>
      </c>
      <c r="K5" s="1" t="str">
        <f>"THK - "&amp;tBoard1</f>
        <v>THK - 19</v>
      </c>
      <c r="L5" s="1" t="str">
        <f>"THK - "&amp;tBoard2</f>
        <v>THK - 19</v>
      </c>
      <c r="M5" s="1" t="str">
        <f>"THK - "&amp;tBoard3</f>
        <v>THK - 100</v>
      </c>
    </row>
    <row r="6" spans="1:13">
      <c r="A6" s="4">
        <v>3</v>
      </c>
      <c r="B6" s="4" t="s">
        <v>6</v>
      </c>
      <c r="C6" s="4">
        <v>500</v>
      </c>
      <c r="D6" s="4">
        <v>700</v>
      </c>
      <c r="E6" s="4">
        <v>910</v>
      </c>
      <c r="F6" s="4">
        <v>1</v>
      </c>
      <c r="G6" s="4">
        <v>1</v>
      </c>
      <c r="H6" s="4">
        <v>1000000</v>
      </c>
      <c r="I6" s="1">
        <v>850</v>
      </c>
      <c r="J6" s="1">
        <v>4</v>
      </c>
      <c r="K6" s="1" t="str">
        <f>"THK - "&amp;tBoard1</f>
        <v>THK - 19</v>
      </c>
      <c r="L6" s="1" t="str">
        <f>"THK - "&amp;tBoard2</f>
        <v>THK - 19</v>
      </c>
      <c r="M6" s="1" t="str">
        <f>"THK - "&amp;tBoard3</f>
        <v>THK - 100</v>
      </c>
    </row>
    <row r="7" spans="1:13">
      <c r="A7" s="4">
        <v>4</v>
      </c>
      <c r="B7" s="9" t="s">
        <v>7</v>
      </c>
      <c r="C7" s="4">
        <v>1000000</v>
      </c>
      <c r="D7" s="4">
        <v>1000000</v>
      </c>
      <c r="E7" s="4">
        <v>1000000</v>
      </c>
      <c r="F7" s="4">
        <v>1000000</v>
      </c>
      <c r="G7" s="4">
        <v>1000000</v>
      </c>
      <c r="H7" s="4">
        <v>1000000</v>
      </c>
      <c r="I7" s="1">
        <v>0</v>
      </c>
      <c r="J7" s="1">
        <v>0</v>
      </c>
    </row>
    <row r="9" spans="1:13">
      <c r="B9" s="4">
        <v>9.5</v>
      </c>
      <c r="C9" s="4">
        <v>2</v>
      </c>
    </row>
    <row r="10" spans="1:13">
      <c r="B10" s="4">
        <v>12.5</v>
      </c>
      <c r="C10" s="4">
        <v>3</v>
      </c>
    </row>
    <row r="11" spans="1:13">
      <c r="B11" s="4">
        <v>15</v>
      </c>
      <c r="C11" s="4">
        <v>4</v>
      </c>
    </row>
    <row r="12" spans="1:13">
      <c r="B12" s="4">
        <v>19</v>
      </c>
      <c r="C12" s="4">
        <v>5</v>
      </c>
    </row>
    <row r="13" spans="1:13">
      <c r="B13" s="4">
        <v>25</v>
      </c>
      <c r="C13" s="4">
        <v>6</v>
      </c>
    </row>
    <row r="14" spans="1:13">
      <c r="B14" s="10">
        <v>9.9999999999999994E-30</v>
      </c>
      <c r="C14" s="4">
        <v>7</v>
      </c>
    </row>
    <row r="16" spans="1:13">
      <c r="A16" s="109" t="s">
        <v>8</v>
      </c>
      <c r="B16" s="110"/>
      <c r="C16" s="4">
        <v>9.5</v>
      </c>
      <c r="D16" s="4">
        <v>12.5</v>
      </c>
      <c r="E16" s="4">
        <v>15</v>
      </c>
      <c r="F16" s="4">
        <v>19</v>
      </c>
      <c r="G16" s="4">
        <v>25</v>
      </c>
      <c r="H16" s="4"/>
    </row>
    <row r="17" spans="1:30">
      <c r="A17" s="4">
        <v>0</v>
      </c>
      <c r="B17" s="4" t="s">
        <v>3</v>
      </c>
      <c r="C17" s="4">
        <v>3.2</v>
      </c>
      <c r="D17" s="4">
        <v>2.7</v>
      </c>
      <c r="E17" s="4">
        <v>2.6</v>
      </c>
      <c r="F17" s="4">
        <v>1.9</v>
      </c>
      <c r="G17" s="4">
        <v>1.9</v>
      </c>
      <c r="H17" s="4">
        <v>0</v>
      </c>
    </row>
    <row r="18" spans="1:30">
      <c r="A18" s="4">
        <v>1</v>
      </c>
      <c r="B18" s="4" t="s">
        <v>4</v>
      </c>
      <c r="C18" s="4">
        <v>1.9</v>
      </c>
      <c r="D18" s="4">
        <v>5.3</v>
      </c>
      <c r="E18" s="4">
        <v>2.1</v>
      </c>
      <c r="F18" s="4">
        <v>1.9</v>
      </c>
      <c r="G18" s="4">
        <v>1.9</v>
      </c>
      <c r="H18" s="4">
        <v>0</v>
      </c>
    </row>
    <row r="19" spans="1:30">
      <c r="A19" s="4">
        <v>2</v>
      </c>
      <c r="B19" s="4" t="s">
        <v>5</v>
      </c>
      <c r="C19" s="4">
        <v>1.9</v>
      </c>
      <c r="D19" s="4">
        <v>3.5</v>
      </c>
      <c r="E19" s="4">
        <v>4.2</v>
      </c>
      <c r="F19" s="4">
        <v>3</v>
      </c>
      <c r="G19" s="4">
        <v>2.5</v>
      </c>
      <c r="H19" s="4">
        <v>0</v>
      </c>
    </row>
    <row r="20" spans="1:30">
      <c r="A20" s="4">
        <v>3</v>
      </c>
      <c r="B20" s="4" t="s">
        <v>6</v>
      </c>
      <c r="C20" s="4">
        <v>1.9</v>
      </c>
      <c r="D20" s="4">
        <v>4</v>
      </c>
      <c r="E20" s="4">
        <v>1.9</v>
      </c>
      <c r="F20" s="4">
        <v>1.9</v>
      </c>
      <c r="G20" s="4">
        <v>1.9</v>
      </c>
      <c r="H20" s="4">
        <v>1000000</v>
      </c>
    </row>
    <row r="21" spans="1:30">
      <c r="A21" s="4">
        <v>4</v>
      </c>
      <c r="B21" s="9" t="s">
        <v>7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</row>
    <row r="22" spans="1:30">
      <c r="K22" s="1" t="s">
        <v>77</v>
      </c>
      <c r="R22" s="1" t="s">
        <v>78</v>
      </c>
      <c r="S22" s="1" t="s">
        <v>186</v>
      </c>
      <c r="Y22" s="1" t="s">
        <v>92</v>
      </c>
    </row>
    <row r="23" spans="1:30">
      <c r="B23" s="4"/>
      <c r="C23" s="4">
        <v>9.5</v>
      </c>
      <c r="D23" s="4">
        <v>12.5</v>
      </c>
      <c r="E23" s="4">
        <v>15</v>
      </c>
      <c r="F23" s="4">
        <v>19</v>
      </c>
      <c r="G23" s="4">
        <v>25</v>
      </c>
      <c r="K23" s="4"/>
      <c r="L23" s="4">
        <v>9.5</v>
      </c>
      <c r="M23" s="4">
        <v>12.5</v>
      </c>
      <c r="N23" s="4">
        <v>15</v>
      </c>
      <c r="O23" s="4">
        <v>19</v>
      </c>
      <c r="P23" s="4">
        <v>25</v>
      </c>
      <c r="R23" s="4"/>
      <c r="S23" s="4">
        <v>9.5</v>
      </c>
      <c r="T23" s="4">
        <v>12.5</v>
      </c>
      <c r="U23" s="4">
        <v>15</v>
      </c>
      <c r="V23" s="4">
        <v>19</v>
      </c>
      <c r="W23" s="4">
        <v>25</v>
      </c>
      <c r="Y23" s="4"/>
      <c r="Z23" s="4">
        <v>9.5</v>
      </c>
      <c r="AA23" s="4">
        <v>12.5</v>
      </c>
      <c r="AB23" s="4">
        <v>15</v>
      </c>
      <c r="AC23" s="4">
        <v>19</v>
      </c>
      <c r="AD23" s="4">
        <v>25</v>
      </c>
    </row>
    <row r="24" spans="1:30">
      <c r="B24" s="4" t="s">
        <v>68</v>
      </c>
      <c r="C24" s="4">
        <f>C3</f>
        <v>360</v>
      </c>
      <c r="D24" s="4">
        <f>D3</f>
        <v>500</v>
      </c>
      <c r="E24" s="4">
        <f>E3</f>
        <v>650</v>
      </c>
      <c r="F24" s="4"/>
      <c r="G24" s="4"/>
      <c r="K24" s="3" t="s">
        <v>68</v>
      </c>
      <c r="L24" s="4">
        <v>162</v>
      </c>
      <c r="M24" s="4">
        <v>210</v>
      </c>
      <c r="N24" s="4">
        <v>277</v>
      </c>
      <c r="O24" s="4"/>
      <c r="P24" s="4"/>
      <c r="R24" s="3" t="s">
        <v>68</v>
      </c>
      <c r="S24" s="4">
        <v>5.4</v>
      </c>
      <c r="T24" s="4">
        <v>7.1</v>
      </c>
      <c r="U24" s="4">
        <v>8.4</v>
      </c>
      <c r="V24" s="4"/>
      <c r="W24" s="4"/>
      <c r="Y24" s="3" t="s">
        <v>68</v>
      </c>
      <c r="Z24" s="4">
        <v>3.2410000000000001</v>
      </c>
      <c r="AA24" s="4">
        <v>2.67</v>
      </c>
      <c r="AB24" s="4">
        <v>2.581</v>
      </c>
      <c r="AC24" s="4"/>
      <c r="AD24" s="4"/>
    </row>
    <row r="25" spans="1:30">
      <c r="B25" s="4" t="s">
        <v>69</v>
      </c>
      <c r="C25" s="4">
        <f>C24</f>
        <v>360</v>
      </c>
      <c r="D25" s="4">
        <f>D24</f>
        <v>500</v>
      </c>
      <c r="E25" s="4"/>
      <c r="F25" s="4"/>
      <c r="G25" s="4"/>
      <c r="K25" s="3" t="s">
        <v>69</v>
      </c>
      <c r="L25" s="4">
        <v>303</v>
      </c>
      <c r="M25" s="4">
        <v>335</v>
      </c>
      <c r="N25" s="4"/>
      <c r="O25" s="4"/>
      <c r="P25" s="4"/>
      <c r="R25" s="3" t="s">
        <v>69</v>
      </c>
      <c r="S25" s="4">
        <v>5.4</v>
      </c>
      <c r="T25" s="63">
        <v>7.1</v>
      </c>
      <c r="U25" s="4"/>
      <c r="V25" s="4"/>
      <c r="W25" s="4"/>
      <c r="Y25" s="3" t="s">
        <v>69</v>
      </c>
      <c r="Z25" s="4"/>
      <c r="AA25" s="4"/>
      <c r="AB25" s="4"/>
      <c r="AC25" s="4"/>
      <c r="AD25" s="4"/>
    </row>
    <row r="26" spans="1:30">
      <c r="B26" s="4" t="s">
        <v>70</v>
      </c>
      <c r="C26" s="4">
        <f>C24</f>
        <v>360</v>
      </c>
      <c r="D26" s="4">
        <f>D24</f>
        <v>500</v>
      </c>
      <c r="E26" s="4"/>
      <c r="F26" s="4"/>
      <c r="G26" s="4"/>
      <c r="K26" s="3" t="s">
        <v>70</v>
      </c>
      <c r="L26" s="4">
        <v>150</v>
      </c>
      <c r="M26" s="4">
        <v>221</v>
      </c>
      <c r="N26" s="4"/>
      <c r="O26" s="4"/>
      <c r="P26" s="4"/>
      <c r="R26" s="3" t="s">
        <v>70</v>
      </c>
      <c r="S26" s="4">
        <v>5.4</v>
      </c>
      <c r="T26" s="4">
        <v>7.1</v>
      </c>
      <c r="U26" s="4"/>
      <c r="V26" s="4"/>
      <c r="W26" s="4"/>
      <c r="Y26" s="3" t="s">
        <v>70</v>
      </c>
      <c r="Z26" s="4"/>
      <c r="AA26" s="4"/>
      <c r="AB26" s="4"/>
      <c r="AC26" s="4"/>
      <c r="AD26" s="4"/>
    </row>
    <row r="27" spans="1:30">
      <c r="B27" s="4" t="s">
        <v>72</v>
      </c>
      <c r="C27" s="4"/>
      <c r="D27" s="4">
        <v>500</v>
      </c>
      <c r="E27" s="4">
        <v>650</v>
      </c>
      <c r="F27" s="4">
        <v>756</v>
      </c>
      <c r="G27" s="4">
        <v>1000</v>
      </c>
      <c r="K27" s="3" t="s">
        <v>72</v>
      </c>
      <c r="L27" s="4"/>
      <c r="M27" s="4">
        <v>274</v>
      </c>
      <c r="N27" s="4">
        <v>323</v>
      </c>
      <c r="O27" s="4">
        <v>515</v>
      </c>
      <c r="P27" s="4">
        <v>906</v>
      </c>
      <c r="R27" s="3" t="s">
        <v>72</v>
      </c>
      <c r="S27" s="4"/>
      <c r="T27" s="4">
        <v>10.5</v>
      </c>
      <c r="U27" s="4">
        <v>13.1</v>
      </c>
      <c r="V27" s="4">
        <v>16.100000000000001</v>
      </c>
      <c r="W27" s="4">
        <v>21.3</v>
      </c>
      <c r="Y27" s="3" t="s">
        <v>72</v>
      </c>
      <c r="Z27" s="4"/>
      <c r="AA27" s="4">
        <v>2.992</v>
      </c>
      <c r="AB27" s="4">
        <v>4.1269999999999998</v>
      </c>
      <c r="AC27" s="4">
        <v>2.8610000000000002</v>
      </c>
      <c r="AD27" s="4">
        <v>2.2749999999999999</v>
      </c>
    </row>
    <row r="28" spans="1:30">
      <c r="B28" s="4" t="s">
        <v>71</v>
      </c>
      <c r="C28" s="4"/>
      <c r="D28" s="4">
        <f>D27</f>
        <v>500</v>
      </c>
      <c r="E28" s="4">
        <f>E27</f>
        <v>650</v>
      </c>
      <c r="F28" s="4">
        <f>F27</f>
        <v>756</v>
      </c>
      <c r="G28" s="4"/>
      <c r="K28" s="3" t="s">
        <v>71</v>
      </c>
      <c r="L28" s="4"/>
      <c r="M28" s="4">
        <v>297</v>
      </c>
      <c r="N28" s="4">
        <v>411</v>
      </c>
      <c r="O28" s="4">
        <v>512</v>
      </c>
      <c r="P28" s="4"/>
      <c r="R28" s="3" t="s">
        <v>71</v>
      </c>
      <c r="S28" s="4"/>
      <c r="T28" s="4">
        <v>10.7</v>
      </c>
      <c r="U28" s="4">
        <v>13.1</v>
      </c>
      <c r="V28" s="4">
        <v>15.9</v>
      </c>
      <c r="W28" s="4"/>
      <c r="Y28" s="3" t="s">
        <v>71</v>
      </c>
      <c r="Z28" s="4"/>
      <c r="AA28" s="4"/>
      <c r="AB28" s="4"/>
      <c r="AC28" s="4"/>
      <c r="AD28" s="4"/>
    </row>
    <row r="29" spans="1:30">
      <c r="B29" s="4" t="s">
        <v>73</v>
      </c>
      <c r="C29" s="4">
        <f>C5</f>
        <v>360</v>
      </c>
      <c r="D29" s="4">
        <f>D5</f>
        <v>500</v>
      </c>
      <c r="E29" s="4"/>
      <c r="F29" s="4"/>
      <c r="G29" s="4"/>
      <c r="K29" s="3" t="s">
        <v>73</v>
      </c>
      <c r="L29" s="4">
        <v>200</v>
      </c>
      <c r="M29" s="4">
        <v>269</v>
      </c>
      <c r="N29" s="4"/>
      <c r="O29" s="4"/>
      <c r="P29" s="4"/>
      <c r="R29" s="3" t="s">
        <v>73</v>
      </c>
      <c r="S29" s="4"/>
      <c r="T29" s="4">
        <v>10.5</v>
      </c>
      <c r="U29" s="4">
        <v>12.5</v>
      </c>
      <c r="V29" s="4"/>
      <c r="W29" s="4"/>
      <c r="Y29" s="3" t="s">
        <v>73</v>
      </c>
      <c r="Z29" s="4"/>
      <c r="AA29" s="4"/>
      <c r="AB29" s="4"/>
      <c r="AC29" s="4"/>
      <c r="AD29" s="4"/>
    </row>
    <row r="30" spans="1:30">
      <c r="B30" s="4" t="s">
        <v>74</v>
      </c>
      <c r="C30" s="4"/>
      <c r="D30" s="4">
        <f>D6</f>
        <v>700</v>
      </c>
      <c r="E30" s="4">
        <f>E6</f>
        <v>910</v>
      </c>
      <c r="F30" s="4"/>
      <c r="G30" s="4"/>
      <c r="K30" s="3" t="s">
        <v>74</v>
      </c>
      <c r="L30" s="4"/>
      <c r="M30" s="4">
        <v>579</v>
      </c>
      <c r="N30" s="4">
        <v>560</v>
      </c>
      <c r="O30" s="4"/>
      <c r="P30" s="4"/>
      <c r="R30" s="3" t="s">
        <v>74</v>
      </c>
      <c r="S30" s="4"/>
      <c r="T30" s="4">
        <v>13.2</v>
      </c>
      <c r="U30" s="4">
        <v>15.8</v>
      </c>
      <c r="V30" s="4"/>
      <c r="W30" s="4"/>
      <c r="Y30" s="3" t="s">
        <v>74</v>
      </c>
      <c r="Z30" s="4"/>
      <c r="AA30" s="4">
        <v>3.4910000000000001</v>
      </c>
      <c r="AB30" s="4"/>
      <c r="AC30" s="4"/>
      <c r="AD30" s="4"/>
    </row>
    <row r="31" spans="1:30">
      <c r="B31" s="4" t="s">
        <v>75</v>
      </c>
      <c r="C31" s="4"/>
      <c r="D31" s="4">
        <f>D4</f>
        <v>500</v>
      </c>
      <c r="E31" s="4">
        <f>E4</f>
        <v>650</v>
      </c>
      <c r="F31" s="4"/>
      <c r="G31" s="4"/>
      <c r="K31" s="3" t="s">
        <v>75</v>
      </c>
      <c r="L31" s="4"/>
      <c r="M31" s="4">
        <v>321</v>
      </c>
      <c r="N31" s="4">
        <v>397</v>
      </c>
      <c r="O31" s="4"/>
      <c r="P31" s="4"/>
      <c r="R31" s="3" t="s">
        <v>75</v>
      </c>
      <c r="S31" s="4"/>
      <c r="T31" s="4">
        <v>10.7</v>
      </c>
      <c r="U31" s="4"/>
      <c r="V31" s="4"/>
      <c r="W31" s="4"/>
      <c r="Y31" s="3" t="s">
        <v>75</v>
      </c>
      <c r="Z31" s="4"/>
      <c r="AA31" s="4">
        <v>5.048</v>
      </c>
      <c r="AB31" s="4">
        <v>2.0499999999999998</v>
      </c>
      <c r="AC31" s="4"/>
      <c r="AD31" s="4"/>
    </row>
    <row r="32" spans="1:30">
      <c r="B32" s="4" t="s">
        <v>76</v>
      </c>
      <c r="C32" s="4"/>
      <c r="D32" s="4">
        <f>D30</f>
        <v>700</v>
      </c>
      <c r="E32" s="4"/>
      <c r="F32" s="4"/>
      <c r="G32" s="4"/>
      <c r="K32" s="3" t="s">
        <v>76</v>
      </c>
      <c r="L32" s="4"/>
      <c r="M32" s="4">
        <v>412</v>
      </c>
      <c r="N32" s="4"/>
      <c r="O32" s="4"/>
      <c r="P32" s="4"/>
      <c r="R32" s="3" t="s">
        <v>76</v>
      </c>
      <c r="S32" s="4"/>
      <c r="T32" s="4">
        <v>12.6</v>
      </c>
      <c r="U32" s="4"/>
      <c r="V32" s="4"/>
      <c r="W32" s="4"/>
      <c r="Y32" s="3" t="s">
        <v>76</v>
      </c>
      <c r="Z32" s="4"/>
      <c r="AA32" s="4"/>
      <c r="AB32" s="4"/>
      <c r="AC32" s="4"/>
      <c r="AD32" s="4"/>
    </row>
    <row r="34" spans="2:16">
      <c r="B34" s="9" t="s">
        <v>188</v>
      </c>
      <c r="K34" s="1" t="s">
        <v>93</v>
      </c>
    </row>
    <row r="35" spans="2:16">
      <c r="B35" s="4" t="s">
        <v>68</v>
      </c>
      <c r="K35" s="4"/>
      <c r="L35" s="4">
        <v>9.5</v>
      </c>
      <c r="M35" s="4">
        <v>12.5</v>
      </c>
      <c r="N35" s="4">
        <v>15</v>
      </c>
      <c r="O35" s="4">
        <v>19</v>
      </c>
      <c r="P35" s="4">
        <v>25</v>
      </c>
    </row>
    <row r="36" spans="2:16">
      <c r="B36" s="4" t="s">
        <v>69</v>
      </c>
      <c r="K36" s="3" t="s">
        <v>68</v>
      </c>
      <c r="L36" s="17">
        <f>L24*0.35/(0.3*((L$35/2)*10^-3)^2)*1.5*10^-6</f>
        <v>12.565096952908586</v>
      </c>
      <c r="M36" s="17">
        <f>M24*0.35/(0.3*((M$35/2)*10^-3)^2)*1.5*10^-6</f>
        <v>9.4079999999999977</v>
      </c>
      <c r="N36" s="17">
        <f>N24*0.35/(0.3*((N$35/2)*10^-3)^2)*1.5*10^-6</f>
        <v>8.6177777777777749</v>
      </c>
      <c r="O36" s="17"/>
      <c r="P36" s="17"/>
    </row>
    <row r="37" spans="2:16">
      <c r="B37" s="4" t="s">
        <v>70</v>
      </c>
      <c r="K37" s="3" t="s">
        <v>69</v>
      </c>
      <c r="L37" s="17">
        <f>L25*0.35/(0.3*((L$35/2)*10^-3)^2)*1.5*10^-6</f>
        <v>23.501385041551245</v>
      </c>
      <c r="M37" s="17">
        <f>M25*0.35/(0.3*((M$35/2)*10^-3)^2)*1.5*10^-6</f>
        <v>15.007999999999996</v>
      </c>
      <c r="N37" s="17"/>
      <c r="O37" s="17"/>
      <c r="P37" s="17"/>
    </row>
    <row r="38" spans="2:16">
      <c r="B38" s="4" t="s">
        <v>72</v>
      </c>
      <c r="K38" s="3" t="s">
        <v>70</v>
      </c>
      <c r="L38" s="17">
        <f>L26*0.35/(0.3*((L$35/2)*10^-3)^2)*1.5*10^-6</f>
        <v>11.634349030470915</v>
      </c>
      <c r="M38" s="17">
        <f>M26*0.35/(0.3*((M$35/2)*10^-3)^2)*1.5*10^-6</f>
        <v>9.9007999999999985</v>
      </c>
      <c r="N38" s="17"/>
      <c r="O38" s="17"/>
      <c r="P38" s="17"/>
    </row>
    <row r="39" spans="2:16">
      <c r="B39" s="4" t="s">
        <v>71</v>
      </c>
      <c r="K39" s="3" t="s">
        <v>72</v>
      </c>
      <c r="L39" s="17"/>
      <c r="M39" s="17">
        <f>M27*0.35/(0.3*((M$35/2)*10^-3)^2)*1.5*10^-6</f>
        <v>12.275199999999996</v>
      </c>
      <c r="N39" s="17">
        <f>N27*0.35/(0.3*((N$35/2)*10^-3)^2)*1.5*10^-6</f>
        <v>10.048888888888888</v>
      </c>
      <c r="O39" s="17">
        <f>O27*0.35/(0.3*((O$35/2)*10^-3)^2)*1.5*10^-6</f>
        <v>9.986149584487535</v>
      </c>
      <c r="P39" s="17">
        <f>P27*0.35/(0.3*((P$35/2)*10^-3)^2)*1.5*10^-6</f>
        <v>10.147199999999996</v>
      </c>
    </row>
    <row r="40" spans="2:16">
      <c r="B40" s="4" t="s">
        <v>73</v>
      </c>
      <c r="K40" s="3" t="s">
        <v>71</v>
      </c>
      <c r="L40" s="17"/>
      <c r="M40" s="17">
        <f>M28*0.35/(0.3*((M$35/2)*10^-3)^2)*1.5*10^-6</f>
        <v>13.305599999999997</v>
      </c>
      <c r="N40" s="17">
        <f>N28*0.35/(0.3*((N$35/2)*10^-3)^2)*1.5*10^-6</f>
        <v>12.786666666666665</v>
      </c>
      <c r="O40" s="17">
        <f>O28*0.35/(0.3*((O$35/2)*10^-3)^2)*1.5*10^-6</f>
        <v>9.9279778393351812</v>
      </c>
      <c r="P40" s="17"/>
    </row>
    <row r="41" spans="2:16">
      <c r="B41" s="4" t="s">
        <v>74</v>
      </c>
      <c r="K41" s="3" t="s">
        <v>73</v>
      </c>
      <c r="L41" s="17">
        <f>L29*0.35/(0.3*((L$35/2)*10^-3)^2)*1.5*10^-6</f>
        <v>15.51246537396122</v>
      </c>
      <c r="M41" s="17">
        <f>M29*0.35/(0.3*((M$35/2)*10^-3)^2)*1.5*10^-6</f>
        <v>12.051199999999996</v>
      </c>
      <c r="N41" s="17"/>
      <c r="O41" s="17"/>
      <c r="P41" s="17"/>
    </row>
    <row r="42" spans="2:16">
      <c r="B42" s="4" t="s">
        <v>75</v>
      </c>
      <c r="K42" s="3" t="s">
        <v>74</v>
      </c>
      <c r="L42" s="17"/>
      <c r="M42" s="17">
        <f>M30*0.35/(0.3*((M$35/2)*10^-3)^2)*1.5*10^-6</f>
        <v>25.939199999999992</v>
      </c>
      <c r="N42" s="17">
        <f>N30*0.35/(0.3*((N$35/2)*10^-3)^2)*1.5*10^-6</f>
        <v>17.422222222222224</v>
      </c>
      <c r="O42" s="17"/>
      <c r="P42" s="17"/>
    </row>
    <row r="43" spans="2:16">
      <c r="B43" s="4" t="s">
        <v>76</v>
      </c>
      <c r="K43" s="3" t="s">
        <v>75</v>
      </c>
      <c r="L43" s="17"/>
      <c r="M43" s="17">
        <f>M31*0.35/(0.3*((M$35/2)*10^-3)^2)*1.5*10^-6</f>
        <v>14.380799999999995</v>
      </c>
      <c r="N43" s="17">
        <f>N31*0.35/(0.3*((N$35/2)*10^-3)^2)*1.5*10^-6</f>
        <v>12.351111111111109</v>
      </c>
      <c r="O43" s="17"/>
      <c r="P43" s="17"/>
    </row>
    <row r="44" spans="2:16">
      <c r="K44" s="3" t="s">
        <v>76</v>
      </c>
      <c r="L44" s="17"/>
      <c r="M44" s="17">
        <f>M32*0.35/(0.3*((M$35/2)*10^-3)^2)*1.5*10^-6</f>
        <v>18.457599999999996</v>
      </c>
      <c r="N44" s="17"/>
      <c r="O44" s="17"/>
      <c r="P44" s="17"/>
    </row>
    <row r="46" spans="2:16">
      <c r="K46" s="1" t="s">
        <v>94</v>
      </c>
    </row>
    <row r="47" spans="2:16">
      <c r="K47" s="4"/>
      <c r="L47" s="4">
        <v>9.5</v>
      </c>
      <c r="M47" s="4">
        <v>12.5</v>
      </c>
      <c r="N47" s="4">
        <v>15</v>
      </c>
      <c r="O47" s="4">
        <v>19</v>
      </c>
      <c r="P47" s="4">
        <v>25</v>
      </c>
    </row>
    <row r="48" spans="2:16">
      <c r="K48" s="3" t="s">
        <v>68</v>
      </c>
      <c r="L48" s="17">
        <f>L36*0.8</f>
        <v>10.05207756232687</v>
      </c>
      <c r="M48" s="17">
        <f>M36*0.8</f>
        <v>7.5263999999999989</v>
      </c>
      <c r="N48" s="17">
        <f>N36*0.8</f>
        <v>6.8942222222222203</v>
      </c>
      <c r="O48" s="17"/>
      <c r="P48" s="17"/>
    </row>
    <row r="49" spans="11:16">
      <c r="K49" s="3" t="s">
        <v>69</v>
      </c>
      <c r="L49" s="17">
        <f>L37*0.8</f>
        <v>18.801108033240997</v>
      </c>
      <c r="M49" s="17">
        <f>M37*0.8</f>
        <v>12.006399999999998</v>
      </c>
      <c r="N49" s="17"/>
      <c r="O49" s="17"/>
      <c r="P49" s="17"/>
    </row>
    <row r="50" spans="11:16">
      <c r="K50" s="3" t="s">
        <v>70</v>
      </c>
      <c r="L50" s="17">
        <f>L38*0.8</f>
        <v>9.307479224376733</v>
      </c>
      <c r="M50" s="17">
        <f>M38*0.8</f>
        <v>7.9206399999999988</v>
      </c>
      <c r="N50" s="17"/>
      <c r="O50" s="17"/>
      <c r="P50" s="17"/>
    </row>
    <row r="51" spans="11:16">
      <c r="K51" s="3" t="s">
        <v>72</v>
      </c>
      <c r="L51" s="17"/>
      <c r="M51" s="17">
        <f>M39*0.8</f>
        <v>9.8201599999999978</v>
      </c>
      <c r="N51" s="17">
        <f>N39*0.8</f>
        <v>8.0391111111111098</v>
      </c>
      <c r="O51" s="17">
        <f>O39*0.8</f>
        <v>7.9889196675900287</v>
      </c>
      <c r="P51" s="17">
        <f>P39*0.8</f>
        <v>8.117759999999997</v>
      </c>
    </row>
    <row r="52" spans="11:16">
      <c r="K52" s="3" t="s">
        <v>71</v>
      </c>
      <c r="L52" s="17"/>
      <c r="M52" s="17">
        <f>M40*0.8</f>
        <v>10.644479999999998</v>
      </c>
      <c r="N52" s="17">
        <f>N40*0.8</f>
        <v>10.229333333333333</v>
      </c>
      <c r="O52" s="17">
        <f>O40*0.8</f>
        <v>7.9423822714681451</v>
      </c>
      <c r="P52" s="17"/>
    </row>
    <row r="53" spans="11:16">
      <c r="K53" s="3" t="s">
        <v>73</v>
      </c>
      <c r="L53" s="17">
        <f>L41*0.8</f>
        <v>12.409972299168977</v>
      </c>
      <c r="M53" s="17">
        <f>M41*0.8</f>
        <v>9.640959999999998</v>
      </c>
      <c r="N53" s="17"/>
      <c r="O53" s="17"/>
      <c r="P53" s="17"/>
    </row>
    <row r="54" spans="11:16">
      <c r="K54" s="3" t="s">
        <v>74</v>
      </c>
      <c r="L54" s="17"/>
      <c r="M54" s="17">
        <f>M42*0.8</f>
        <v>20.751359999999995</v>
      </c>
      <c r="N54" s="17">
        <f>N42*0.8</f>
        <v>13.93777777777778</v>
      </c>
      <c r="O54" s="17"/>
      <c r="P54" s="17"/>
    </row>
    <row r="55" spans="11:16">
      <c r="K55" s="3" t="s">
        <v>75</v>
      </c>
      <c r="L55" s="17"/>
      <c r="M55" s="17">
        <f>M43*0.8</f>
        <v>11.504639999999997</v>
      </c>
      <c r="N55" s="17">
        <f>N43*0.8</f>
        <v>9.8808888888888884</v>
      </c>
      <c r="O55" s="17"/>
      <c r="P55" s="17"/>
    </row>
    <row r="56" spans="11:16">
      <c r="K56" s="3" t="s">
        <v>76</v>
      </c>
      <c r="L56" s="17"/>
      <c r="M56" s="17">
        <f>M44*0.8</f>
        <v>14.766079999999997</v>
      </c>
      <c r="N56" s="17"/>
      <c r="O56" s="17"/>
      <c r="P56" s="17"/>
    </row>
  </sheetData>
  <mergeCells count="1">
    <mergeCell ref="A16:B16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BD031-553C-4698-9369-DB4E9A66990D}">
  <dimension ref="B1:U9"/>
  <sheetViews>
    <sheetView view="pageBreakPreview" zoomScale="130" zoomScaleSheetLayoutView="130" workbookViewId="0">
      <selection activeCell="F18" sqref="F18"/>
    </sheetView>
  </sheetViews>
  <sheetFormatPr defaultColWidth="9" defaultRowHeight="12"/>
  <sheetData>
    <row r="1" spans="2:21">
      <c r="T1" s="13" t="s">
        <v>79</v>
      </c>
      <c r="U1" s="14">
        <v>290</v>
      </c>
    </row>
    <row r="2" spans="2:21">
      <c r="B2" s="15" t="s">
        <v>88</v>
      </c>
      <c r="D2" s="16" t="e">
        <f>"2 X 0.85 X "&amp;#REF!&amp;" X "&amp;#REF!&amp; " X "&amp;#REF!&amp;" ="</f>
        <v>#REF!</v>
      </c>
      <c r="T2" s="13" t="s">
        <v>80</v>
      </c>
      <c r="U2" s="14">
        <v>145</v>
      </c>
    </row>
    <row r="3" spans="2:21">
      <c r="B3" s="15" t="s">
        <v>89</v>
      </c>
      <c r="D3" s="16" t="e">
        <f>"2 X 0.85 X "&amp;#REF!&amp;" X "&amp;#REF!&amp; " X "&amp;#REF!&amp;" ="</f>
        <v>#REF!</v>
      </c>
      <c r="T3" s="13" t="s">
        <v>81</v>
      </c>
      <c r="U3" s="14">
        <v>205</v>
      </c>
    </row>
    <row r="4" spans="2:21">
      <c r="B4" s="15" t="s">
        <v>90</v>
      </c>
      <c r="D4" s="16" t="e">
        <f>"4.2 X √(  "&amp;#REF!^3&amp;" X "&amp;#REF!&amp; ")  X 0.5 X "&amp;#REF!&amp;" ="</f>
        <v>#REF!</v>
      </c>
      <c r="T4" s="13" t="s">
        <v>82</v>
      </c>
      <c r="U4" s="14">
        <v>520</v>
      </c>
    </row>
    <row r="5" spans="2:21">
      <c r="B5" s="15" t="s">
        <v>91</v>
      </c>
      <c r="D5" s="16" t="e">
        <f>"0.5 X "&amp;ROUNDUP(#REF!*#REF!,2)&amp;" / 1.25 = "</f>
        <v>#REF!</v>
      </c>
      <c r="T5" s="13" t="s">
        <v>83</v>
      </c>
      <c r="U5" s="14">
        <v>520</v>
      </c>
    </row>
    <row r="6" spans="2:21">
      <c r="T6" s="13" t="s">
        <v>84</v>
      </c>
      <c r="U6" s="14">
        <v>400</v>
      </c>
    </row>
    <row r="7" spans="2:21">
      <c r="T7" s="13" t="s">
        <v>85</v>
      </c>
      <c r="U7" s="14">
        <v>490</v>
      </c>
    </row>
    <row r="8" spans="2:21">
      <c r="T8" s="13" t="s">
        <v>86</v>
      </c>
      <c r="U8" s="14">
        <v>425</v>
      </c>
    </row>
    <row r="9" spans="2:21">
      <c r="T9" s="13" t="s">
        <v>87</v>
      </c>
      <c r="U9" s="14">
        <v>470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58843-DED3-4316-BA6F-B6A81B7CA600}">
  <dimension ref="A1:U64"/>
  <sheetViews>
    <sheetView view="pageBreakPreview" topLeftCell="A16" zoomScaleSheetLayoutView="100" workbookViewId="0">
      <selection activeCell="B46" sqref="B46"/>
    </sheetView>
  </sheetViews>
  <sheetFormatPr defaultColWidth="9" defaultRowHeight="12"/>
  <cols>
    <col min="2" max="2" width="21.85546875" bestFit="1" customWidth="1"/>
  </cols>
  <sheetData>
    <row r="1" spans="1:21"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17</v>
      </c>
      <c r="S1" t="s">
        <v>22</v>
      </c>
      <c r="T1" t="s">
        <v>23</v>
      </c>
      <c r="U1" t="s">
        <v>24</v>
      </c>
    </row>
    <row r="2" spans="1:21">
      <c r="A2" t="s">
        <v>25</v>
      </c>
      <c r="B2" t="s">
        <v>26</v>
      </c>
      <c r="C2">
        <v>45</v>
      </c>
      <c r="D2">
        <v>50</v>
      </c>
      <c r="E2">
        <v>10</v>
      </c>
      <c r="F2">
        <v>0.8</v>
      </c>
      <c r="G2">
        <v>138.5</v>
      </c>
      <c r="H2">
        <v>1.02</v>
      </c>
      <c r="I2" s="12">
        <v>56000</v>
      </c>
      <c r="J2">
        <f t="shared" ref="J2:J31" si="0">SQRT(I2/G2)</f>
        <v>20.108011586526871</v>
      </c>
      <c r="K2" s="12">
        <v>39000</v>
      </c>
      <c r="L2">
        <f t="shared" ref="L2:L31" si="1">SQRT(K2/G2)</f>
        <v>16.780597356871109</v>
      </c>
      <c r="M2">
        <v>25</v>
      </c>
      <c r="N2">
        <f t="shared" ref="N2:N23" si="2" xml:space="preserve"> ( D2 * F2^2 / 2 + 2 * F2 * C2^2 /2 + 2 * F2*E2  *C2)/G2</f>
        <v>17.010830324909747</v>
      </c>
      <c r="O2">
        <f t="shared" ref="O2:O23" si="3">(3*C2*D2^2*(C2+2*E2)-8*C2*E2^3)/(D2^2*(D2+6*C2+6*E2)+4*E2^2*(2*E2-3*D2))+N2</f>
        <v>41.039226761435359</v>
      </c>
      <c r="P2">
        <f t="shared" ref="P2:P23" si="4">(F2^3*D2 + 2*F2^3*C2 + 2*F2^3*E2)/3</f>
        <v>27.306666666666672</v>
      </c>
      <c r="Q2" s="12">
        <f t="shared" ref="Q2:Q23" si="5">((C2^3*D2^2*F2)/12)*((2*D2*F2+3*C2*F2)/(D2*F2+6*F2*C2))</f>
        <v>11153320.3125</v>
      </c>
      <c r="R2" s="12">
        <f t="shared" ref="R2:R23" si="6">2*(K2+G2*N2^2)</f>
        <v>158155.03249097473</v>
      </c>
      <c r="S2">
        <f t="shared" ref="S2:S23" si="7">((2*F2)^3*D2 + 2*F2^3*(2*C2) + 4*F2^3*E2)/3</f>
        <v>105.81333333333335</v>
      </c>
      <c r="T2" s="12">
        <f t="shared" ref="T2:T23" si="8">D2^2/4 * (2*R2)</f>
        <v>197693790.61371842</v>
      </c>
      <c r="U2">
        <f t="shared" ref="U2:U23" si="9">SQRT(R2/(2*G2))</f>
        <v>23.894702257954556</v>
      </c>
    </row>
    <row r="3" spans="1:21">
      <c r="B3" t="s">
        <v>27</v>
      </c>
      <c r="C3">
        <v>45</v>
      </c>
      <c r="D3">
        <v>50</v>
      </c>
      <c r="E3">
        <v>10</v>
      </c>
      <c r="F3">
        <v>1</v>
      </c>
      <c r="G3">
        <v>161</v>
      </c>
      <c r="H3">
        <v>1.26</v>
      </c>
      <c r="I3" s="12">
        <v>69000</v>
      </c>
      <c r="J3">
        <f t="shared" si="0"/>
        <v>20.701966780270627</v>
      </c>
      <c r="K3" s="12">
        <v>48000</v>
      </c>
      <c r="L3">
        <f t="shared" si="1"/>
        <v>17.266633892068626</v>
      </c>
      <c r="M3">
        <v>25</v>
      </c>
      <c r="N3">
        <f t="shared" si="2"/>
        <v>18.322981366459626</v>
      </c>
      <c r="O3">
        <f t="shared" si="3"/>
        <v>42.35137780298524</v>
      </c>
      <c r="P3">
        <f t="shared" si="4"/>
        <v>53.333333333333336</v>
      </c>
      <c r="Q3" s="12">
        <f t="shared" si="5"/>
        <v>13941650.390625</v>
      </c>
      <c r="R3" s="12">
        <f t="shared" si="6"/>
        <v>204105.59006211179</v>
      </c>
      <c r="S3">
        <f t="shared" si="7"/>
        <v>206.66666666666666</v>
      </c>
      <c r="T3" s="12">
        <f t="shared" si="8"/>
        <v>255131987.57763973</v>
      </c>
      <c r="U3">
        <f t="shared" si="9"/>
        <v>25.176741094080455</v>
      </c>
    </row>
    <row r="4" spans="1:21">
      <c r="B4" t="s">
        <v>28</v>
      </c>
      <c r="C4">
        <v>45</v>
      </c>
      <c r="D4">
        <v>65</v>
      </c>
      <c r="E4">
        <v>10</v>
      </c>
      <c r="F4">
        <v>0.8</v>
      </c>
      <c r="G4">
        <v>142</v>
      </c>
      <c r="H4">
        <v>1.1100000000000001</v>
      </c>
      <c r="I4" s="12">
        <v>101000</v>
      </c>
      <c r="J4">
        <f t="shared" si="0"/>
        <v>26.669600777548261</v>
      </c>
      <c r="K4" s="12">
        <v>43000</v>
      </c>
      <c r="L4">
        <f t="shared" si="1"/>
        <v>17.401635021125191</v>
      </c>
      <c r="M4">
        <v>32.5</v>
      </c>
      <c r="N4">
        <f t="shared" si="2"/>
        <v>16.625352112676058</v>
      </c>
      <c r="O4">
        <f t="shared" si="3"/>
        <v>39.587982086876664</v>
      </c>
      <c r="P4">
        <f t="shared" si="4"/>
        <v>29.866666666666674</v>
      </c>
      <c r="Q4" s="12">
        <f t="shared" si="5"/>
        <v>20303647.388059702</v>
      </c>
      <c r="R4" s="12">
        <f t="shared" si="6"/>
        <v>164498.26253521128</v>
      </c>
      <c r="S4">
        <f t="shared" si="7"/>
        <v>126.29333333333336</v>
      </c>
      <c r="T4" s="12">
        <f t="shared" si="8"/>
        <v>347502579.60563385</v>
      </c>
      <c r="U4">
        <f t="shared" si="9"/>
        <v>24.066973932734314</v>
      </c>
    </row>
    <row r="5" spans="1:21">
      <c r="B5" t="s">
        <v>29</v>
      </c>
      <c r="C5">
        <v>45</v>
      </c>
      <c r="D5">
        <v>65</v>
      </c>
      <c r="E5">
        <v>10</v>
      </c>
      <c r="F5">
        <v>1</v>
      </c>
      <c r="G5">
        <v>176</v>
      </c>
      <c r="H5">
        <v>1.38</v>
      </c>
      <c r="I5" s="12">
        <v>125000</v>
      </c>
      <c r="J5">
        <f t="shared" si="0"/>
        <v>26.650089544451305</v>
      </c>
      <c r="K5" s="12">
        <v>53000</v>
      </c>
      <c r="L5">
        <f t="shared" si="1"/>
        <v>17.353281062564612</v>
      </c>
      <c r="M5">
        <v>32.5</v>
      </c>
      <c r="N5">
        <f t="shared" si="2"/>
        <v>16.803977272727273</v>
      </c>
      <c r="O5">
        <f t="shared" si="3"/>
        <v>39.766607246927883</v>
      </c>
      <c r="P5">
        <f t="shared" si="4"/>
        <v>58.333333333333336</v>
      </c>
      <c r="Q5" s="12">
        <f t="shared" si="5"/>
        <v>25379559.235074624</v>
      </c>
      <c r="R5" s="12">
        <f t="shared" si="6"/>
        <v>205395.52556818182</v>
      </c>
      <c r="S5">
        <f t="shared" si="7"/>
        <v>246.66666666666666</v>
      </c>
      <c r="T5" s="12">
        <f t="shared" si="8"/>
        <v>433898047.76278412</v>
      </c>
      <c r="U5">
        <f t="shared" si="9"/>
        <v>24.155951975003973</v>
      </c>
    </row>
    <row r="6" spans="1:21">
      <c r="B6" t="s">
        <v>30</v>
      </c>
      <c r="C6">
        <v>45</v>
      </c>
      <c r="D6">
        <v>75</v>
      </c>
      <c r="E6">
        <v>10</v>
      </c>
      <c r="F6">
        <v>0.8</v>
      </c>
      <c r="G6">
        <v>150</v>
      </c>
      <c r="H6">
        <v>1.17</v>
      </c>
      <c r="I6" s="12">
        <v>140000</v>
      </c>
      <c r="J6">
        <f t="shared" si="0"/>
        <v>30.550504633038933</v>
      </c>
      <c r="K6" s="12">
        <v>46000</v>
      </c>
      <c r="L6">
        <f t="shared" si="1"/>
        <v>17.511900715418264</v>
      </c>
      <c r="M6">
        <v>37.5</v>
      </c>
      <c r="N6">
        <f t="shared" si="2"/>
        <v>15.76</v>
      </c>
      <c r="O6">
        <f t="shared" si="3"/>
        <v>38.071742273322329</v>
      </c>
      <c r="P6">
        <f t="shared" si="4"/>
        <v>31.573333333333341</v>
      </c>
      <c r="Q6" s="12">
        <f t="shared" si="5"/>
        <v>28228940.217391305</v>
      </c>
      <c r="R6" s="12">
        <f t="shared" si="6"/>
        <v>166513.28</v>
      </c>
      <c r="S6">
        <f t="shared" si="7"/>
        <v>139.94666666666669</v>
      </c>
      <c r="T6" s="12">
        <f t="shared" si="8"/>
        <v>468318600</v>
      </c>
      <c r="U6">
        <f t="shared" si="9"/>
        <v>23.559377467723266</v>
      </c>
    </row>
    <row r="7" spans="1:21">
      <c r="B7" t="s">
        <v>31</v>
      </c>
      <c r="C7">
        <v>45</v>
      </c>
      <c r="D7">
        <v>75</v>
      </c>
      <c r="E7">
        <v>10</v>
      </c>
      <c r="F7">
        <v>1</v>
      </c>
      <c r="G7">
        <v>186</v>
      </c>
      <c r="H7">
        <v>1.46</v>
      </c>
      <c r="I7" s="12">
        <v>173000</v>
      </c>
      <c r="J7">
        <f t="shared" si="0"/>
        <v>30.497664285674738</v>
      </c>
      <c r="K7" s="12">
        <v>56000</v>
      </c>
      <c r="L7">
        <f t="shared" si="1"/>
        <v>17.351520648554242</v>
      </c>
      <c r="M7">
        <v>37.5</v>
      </c>
      <c r="N7">
        <f t="shared" si="2"/>
        <v>15.92741935483871</v>
      </c>
      <c r="O7">
        <f t="shared" si="3"/>
        <v>38.239161628161042</v>
      </c>
      <c r="P7">
        <f t="shared" si="4"/>
        <v>61.666666666666664</v>
      </c>
      <c r="Q7" s="12">
        <f t="shared" si="5"/>
        <v>35286175.271739133</v>
      </c>
      <c r="R7" s="12">
        <f t="shared" si="6"/>
        <v>206369.95967741936</v>
      </c>
      <c r="S7">
        <f t="shared" si="7"/>
        <v>273.33333333333331</v>
      </c>
      <c r="T7" s="12">
        <f t="shared" si="8"/>
        <v>580415511.59274197</v>
      </c>
      <c r="U7">
        <f t="shared" si="9"/>
        <v>23.553300323353731</v>
      </c>
    </row>
    <row r="8" spans="1:21">
      <c r="B8" t="s">
        <v>156</v>
      </c>
      <c r="C8">
        <v>45</v>
      </c>
      <c r="D8">
        <v>80</v>
      </c>
      <c r="E8">
        <v>10</v>
      </c>
      <c r="F8">
        <v>0.8</v>
      </c>
      <c r="G8">
        <v>150</v>
      </c>
      <c r="H8">
        <v>1.17</v>
      </c>
      <c r="I8" s="12">
        <v>140000</v>
      </c>
      <c r="J8">
        <f>SQRT(I8/G8)</f>
        <v>30.550504633038933</v>
      </c>
      <c r="K8" s="12">
        <v>46000</v>
      </c>
      <c r="L8">
        <f>SQRT(K8/G8)</f>
        <v>17.511900715418264</v>
      </c>
      <c r="M8">
        <v>37.5</v>
      </c>
      <c r="N8">
        <f xml:space="preserve"> ( D8 * F8^2 / 2 + 2 * F8 * C8^2 /2 + 2 * F8*E8  *C8)/G8</f>
        <v>15.770666666666665</v>
      </c>
      <c r="O8">
        <f>(3*C8*D8^2*(C8+2*E8)-8*C8*E8^3)/(D8^2*(D8+6*C8+6*E8)+4*E8^2*(2*E8-3*D8))+N8</f>
        <v>37.773821240799158</v>
      </c>
      <c r="P8">
        <f>(F8^3*D8 + 2*F8^3*C8 + 2*F8^3*E8)/3</f>
        <v>32.426666666666677</v>
      </c>
      <c r="Q8" s="12">
        <f>((C8^3*D8^2*F8)/12)*((2*D8*F8+3*C8*F8)/(D8*F8+6*F8*C8))</f>
        <v>32770285.714285713</v>
      </c>
      <c r="R8" s="12">
        <f>2*(K8+G8*N8^2)</f>
        <v>166614.17813333333</v>
      </c>
      <c r="S8">
        <f>((2*F8)^3*D8 + 2*F8^3*(2*C8) + 4*F8^3*E8)/3</f>
        <v>146.77333333333337</v>
      </c>
      <c r="T8" s="12">
        <f>D8^2/4 * (2*R8)</f>
        <v>533165370.02666664</v>
      </c>
      <c r="U8">
        <f>SQRT(R8/(2*G8))</f>
        <v>23.566514247503338</v>
      </c>
    </row>
    <row r="9" spans="1:21">
      <c r="B9" t="s">
        <v>157</v>
      </c>
      <c r="C9">
        <v>45</v>
      </c>
      <c r="D9">
        <v>80</v>
      </c>
      <c r="E9">
        <v>10</v>
      </c>
      <c r="F9">
        <v>1</v>
      </c>
      <c r="G9">
        <v>186</v>
      </c>
      <c r="H9">
        <v>1.46</v>
      </c>
      <c r="I9" s="12">
        <v>173000</v>
      </c>
      <c r="J9">
        <f>SQRT(I9/G9)</f>
        <v>30.497664285674738</v>
      </c>
      <c r="K9" s="12">
        <v>56000</v>
      </c>
      <c r="L9">
        <f>SQRT(K9/G9)</f>
        <v>17.351520648554242</v>
      </c>
      <c r="M9">
        <v>37.5</v>
      </c>
      <c r="N9">
        <f xml:space="preserve"> ( D9 * F9^2 / 2 + 2 * F9 * C9^2 /2 + 2 * F9*E9  *C9)/G9</f>
        <v>15.940860215053764</v>
      </c>
      <c r="O9">
        <f>(3*C9*D9^2*(C9+2*E9)-8*C9*E9^3)/(D9^2*(D9+6*C9+6*E9)+4*E9^2*(2*E9-3*D9))+N9</f>
        <v>37.944014789186255</v>
      </c>
      <c r="P9">
        <f>(F9^3*D9 + 2*F9^3*C9 + 2*F9^3*E9)/3</f>
        <v>63.333333333333336</v>
      </c>
      <c r="Q9" s="12">
        <f>((C9^3*D9^2*F9)/12)*((2*D9*F9+3*C9*F9)/(D9*F9+6*F9*C9))</f>
        <v>40962857.142857142</v>
      </c>
      <c r="R9" s="12">
        <f>2*(K9+G9*N9^2)</f>
        <v>206529.30107526883</v>
      </c>
      <c r="S9">
        <f>((2*F9)^3*D9 + 2*F9^3*(2*C9) + 4*F9^3*E9)/3</f>
        <v>286.66666666666669</v>
      </c>
      <c r="T9" s="12">
        <f>D9^2/4 * (2*R9)</f>
        <v>660893763.44086027</v>
      </c>
      <c r="U9">
        <f>SQRT(R9/(2*G9))</f>
        <v>23.562391500293177</v>
      </c>
    </row>
    <row r="10" spans="1:21">
      <c r="B10" t="s">
        <v>32</v>
      </c>
      <c r="C10">
        <v>45</v>
      </c>
      <c r="D10">
        <v>90</v>
      </c>
      <c r="E10">
        <v>10</v>
      </c>
      <c r="F10">
        <v>0.8</v>
      </c>
      <c r="G10">
        <v>162</v>
      </c>
      <c r="H10">
        <v>1.27</v>
      </c>
      <c r="I10" s="12">
        <v>213000</v>
      </c>
      <c r="J10">
        <f t="shared" si="0"/>
        <v>36.260375271290492</v>
      </c>
      <c r="K10" s="12">
        <v>49000</v>
      </c>
      <c r="L10">
        <f t="shared" si="1"/>
        <v>17.391639824998364</v>
      </c>
      <c r="M10">
        <v>45</v>
      </c>
      <c r="N10">
        <f t="shared" si="2"/>
        <v>14.622222222222224</v>
      </c>
      <c r="O10">
        <f t="shared" si="3"/>
        <v>36.038787939969041</v>
      </c>
      <c r="P10">
        <f t="shared" si="4"/>
        <v>34.133333333333347</v>
      </c>
      <c r="Q10" s="12">
        <f t="shared" si="5"/>
        <v>43056562.5</v>
      </c>
      <c r="R10" s="12">
        <f t="shared" si="6"/>
        <v>167274.23999999999</v>
      </c>
      <c r="S10">
        <f t="shared" si="7"/>
        <v>160.4266666666667</v>
      </c>
      <c r="T10" s="12">
        <f t="shared" si="8"/>
        <v>677460672</v>
      </c>
      <c r="U10">
        <f t="shared" si="9"/>
        <v>22.721763103212709</v>
      </c>
    </row>
    <row r="11" spans="1:21">
      <c r="B11" t="s">
        <v>33</v>
      </c>
      <c r="C11">
        <v>45</v>
      </c>
      <c r="D11">
        <v>90</v>
      </c>
      <c r="E11">
        <v>10</v>
      </c>
      <c r="F11">
        <v>1</v>
      </c>
      <c r="G11">
        <v>201</v>
      </c>
      <c r="H11">
        <v>1.58</v>
      </c>
      <c r="I11" s="12">
        <v>264000</v>
      </c>
      <c r="J11">
        <f t="shared" si="0"/>
        <v>36.241313936181939</v>
      </c>
      <c r="K11" s="12">
        <v>60000</v>
      </c>
      <c r="L11">
        <f t="shared" si="1"/>
        <v>17.277368511627202</v>
      </c>
      <c r="M11">
        <v>45</v>
      </c>
      <c r="N11">
        <f t="shared" si="2"/>
        <v>14.776119402985074</v>
      </c>
      <c r="O11">
        <f t="shared" si="3"/>
        <v>36.192685120731895</v>
      </c>
      <c r="P11">
        <f t="shared" si="4"/>
        <v>66.666666666666671</v>
      </c>
      <c r="Q11" s="12">
        <f t="shared" si="5"/>
        <v>53820703.125</v>
      </c>
      <c r="R11" s="12">
        <f t="shared" si="6"/>
        <v>207770.14925373136</v>
      </c>
      <c r="S11">
        <f t="shared" si="7"/>
        <v>313.33333333333331</v>
      </c>
      <c r="T11" s="12">
        <f t="shared" si="8"/>
        <v>841469104.47761202</v>
      </c>
      <c r="U11">
        <f t="shared" si="9"/>
        <v>22.734141006377154</v>
      </c>
    </row>
    <row r="12" spans="1:21">
      <c r="B12" t="s">
        <v>34</v>
      </c>
      <c r="C12">
        <v>45</v>
      </c>
      <c r="D12">
        <v>100</v>
      </c>
      <c r="E12">
        <v>10</v>
      </c>
      <c r="F12">
        <v>0.8</v>
      </c>
      <c r="G12">
        <v>170</v>
      </c>
      <c r="H12">
        <v>1.3</v>
      </c>
      <c r="I12" s="12">
        <v>272000</v>
      </c>
      <c r="J12">
        <f t="shared" si="0"/>
        <v>40</v>
      </c>
      <c r="K12" s="12">
        <v>51000</v>
      </c>
      <c r="L12">
        <f t="shared" si="1"/>
        <v>17.320508075688775</v>
      </c>
      <c r="M12">
        <v>50</v>
      </c>
      <c r="N12">
        <f t="shared" si="2"/>
        <v>13.952941176470588</v>
      </c>
      <c r="O12">
        <f t="shared" si="3"/>
        <v>34.819703354121017</v>
      </c>
      <c r="P12">
        <f t="shared" si="4"/>
        <v>35.840000000000011</v>
      </c>
      <c r="Q12" s="12">
        <f t="shared" si="5"/>
        <v>55003378.378378376</v>
      </c>
      <c r="R12" s="12">
        <f t="shared" si="6"/>
        <v>168192.75294117647</v>
      </c>
      <c r="S12">
        <f t="shared" si="7"/>
        <v>174.08000000000004</v>
      </c>
      <c r="T12" s="12">
        <f t="shared" si="8"/>
        <v>840963764.70588231</v>
      </c>
      <c r="U12">
        <f t="shared" si="9"/>
        <v>22.241505512758089</v>
      </c>
    </row>
    <row r="13" spans="1:21">
      <c r="B13" t="s">
        <v>35</v>
      </c>
      <c r="C13">
        <v>45</v>
      </c>
      <c r="D13">
        <v>100</v>
      </c>
      <c r="E13">
        <v>10</v>
      </c>
      <c r="F13">
        <v>1</v>
      </c>
      <c r="G13">
        <v>211</v>
      </c>
      <c r="H13">
        <v>1.66</v>
      </c>
      <c r="I13" s="12">
        <v>336000</v>
      </c>
      <c r="J13">
        <f t="shared" si="0"/>
        <v>39.905100696670026</v>
      </c>
      <c r="K13" s="12">
        <v>62000</v>
      </c>
      <c r="L13">
        <f t="shared" si="1"/>
        <v>17.141728692265598</v>
      </c>
      <c r="M13">
        <v>50</v>
      </c>
      <c r="N13">
        <f t="shared" si="2"/>
        <v>14.099526066350711</v>
      </c>
      <c r="O13">
        <f t="shared" si="3"/>
        <v>34.966288244001142</v>
      </c>
      <c r="P13">
        <f t="shared" si="4"/>
        <v>70</v>
      </c>
      <c r="Q13" s="12">
        <f t="shared" si="5"/>
        <v>68754222.972972974</v>
      </c>
      <c r="R13" s="12">
        <f t="shared" si="6"/>
        <v>207892.18009478675</v>
      </c>
      <c r="S13">
        <f t="shared" si="7"/>
        <v>340</v>
      </c>
      <c r="T13" s="12">
        <f t="shared" si="8"/>
        <v>1039460900.4739337</v>
      </c>
      <c r="U13">
        <f t="shared" si="9"/>
        <v>22.195393617932186</v>
      </c>
    </row>
    <row r="14" spans="1:21">
      <c r="B14" t="s">
        <v>36</v>
      </c>
      <c r="C14">
        <v>45</v>
      </c>
      <c r="D14">
        <v>110</v>
      </c>
      <c r="E14">
        <v>10</v>
      </c>
      <c r="F14">
        <v>0.8</v>
      </c>
      <c r="G14">
        <f>(2*E14*F14+D14*F14+2*C14*F14)*0.98</f>
        <v>172.48</v>
      </c>
      <c r="H14">
        <f>G14*7.82*10^-3</f>
        <v>1.3487936</v>
      </c>
      <c r="I14" s="12">
        <f>(1/12*F14*D14^3+2*C14*F14*(D14/2)^2 + E14*F14*((D14/2-E14/2)^2+(D14-E14/2)^2))*0.744</f>
        <v>308561.59999999998</v>
      </c>
      <c r="J14">
        <f>SQRT(I14/G14)</f>
        <v>42.296221053409568</v>
      </c>
      <c r="K14" s="12">
        <f>D14*F14*(N14-F14/2)^2+2*F14*C14*(N14-C14/2)+2*F14*E14*(C14-N14)^2</f>
        <v>30708.296920635687</v>
      </c>
      <c r="L14">
        <f>SQRT(K14/G14)</f>
        <v>13.343153857833441</v>
      </c>
      <c r="M14">
        <f>D14/2</f>
        <v>55</v>
      </c>
      <c r="N14">
        <f xml:space="preserve"> ( D14 * F14^2 / 2 + 2 * F14 * C14^2 /2 + 2 * F14*E14  *C14)/G14</f>
        <v>13.770871985157699</v>
      </c>
      <c r="O14">
        <f>(3*C14*D14^2*(C14+2*E14)-8*C14*E14^3)/(D14^2*(D14+6*C14+6*E14)+4*E14^2*(2*E14-3*D14))+N14</f>
        <v>34.120391215926929</v>
      </c>
      <c r="P14">
        <f>(F14^3*D14 + 2*F14^3*C14 + 2*F14^3*E14)/3</f>
        <v>37.546666666666681</v>
      </c>
      <c r="Q14" s="12">
        <f>((C14^3*D14^2*F14)/12)*((2*D14*F14+3*C14*F14)/(D14*F14+6*F14*C14))</f>
        <v>68671480.263157889</v>
      </c>
      <c r="R14" s="12">
        <f>2*(K14+G14*N14^2)</f>
        <v>126833.74411956451</v>
      </c>
      <c r="S14">
        <f>((2*F14)^3*D14 + 2*F14^3*(2*C14) + 4*F14^3*E14)/3</f>
        <v>187.73333333333338</v>
      </c>
      <c r="T14" s="12">
        <f>D14^2/4 * (2*R14)</f>
        <v>767344151.92336524</v>
      </c>
      <c r="U14">
        <f>SQRT(R14/(2*G14))</f>
        <v>19.17489687339717</v>
      </c>
    </row>
    <row r="15" spans="1:21">
      <c r="B15" t="s">
        <v>152</v>
      </c>
      <c r="C15">
        <v>45</v>
      </c>
      <c r="D15">
        <v>110</v>
      </c>
      <c r="E15">
        <v>10</v>
      </c>
      <c r="F15">
        <v>1</v>
      </c>
      <c r="G15">
        <f>(2*E15*F15+D15*F15+2*C15*F15)*0.98</f>
        <v>215.6</v>
      </c>
      <c r="H15">
        <f>G15*7.82*10^-3</f>
        <v>1.6859919999999999</v>
      </c>
      <c r="I15" s="12">
        <f>(1/12*F15*D15^3+2*C15*F15*(D15/2)^2 + E15*F15*((D15/2-E15/2)^2+(D15-E15/2)^2))*0.744</f>
        <v>385701.99999999994</v>
      </c>
      <c r="J15">
        <f>SQRT(I15/G15)</f>
        <v>42.296221053409568</v>
      </c>
      <c r="K15" s="12">
        <f>D15*F15*(N15-F15/2)^2+2*F15*C15*(N15-C15/2)+2*F15*E15*(C15-N15)^2</f>
        <v>38182.468057386563</v>
      </c>
      <c r="L15">
        <f>SQRT(K15/G15)</f>
        <v>13.307841519429275</v>
      </c>
      <c r="M15">
        <f>D15/2</f>
        <v>55</v>
      </c>
      <c r="N15">
        <f xml:space="preserve"> ( D15 * F15^2 / 2 + 2 * F15 * C15^2 /2 + 2 * F15*E15  *C15)/G15</f>
        <v>13.821892393320965</v>
      </c>
      <c r="O15">
        <f>(3*C15*D15^2*(C15+2*E15)-8*C15*E15^3)/(D15^2*(D15+6*C15+6*E15)+4*E15^2*(2*E15-3*D15))+N15</f>
        <v>34.171411624090197</v>
      </c>
      <c r="P15">
        <f>(F15^3*D15 + 2*F15^3*C15 + 2*F15^3*E15)/3</f>
        <v>73.333333333333329</v>
      </c>
      <c r="Q15" s="12">
        <f>((C15^3*D15^2*F15)/12)*((2*D15*F15+3*C15*F15)/(D15*F15+6*F15*C15))</f>
        <v>85839350.328947365</v>
      </c>
      <c r="R15" s="12">
        <f>2*(K15+G15*N15^2)</f>
        <v>158743.41477896608</v>
      </c>
      <c r="S15">
        <f>((2*F15)^3*D15 + 2*F15^3*(2*C15) + 4*F15^3*E15)/3</f>
        <v>366.66666666666669</v>
      </c>
      <c r="T15" s="12">
        <f>D15^2/4 * (2*R15)</f>
        <v>960397659.41274476</v>
      </c>
      <c r="U15">
        <f>SQRT(R15/(2*G15))</f>
        <v>19.187062183637952</v>
      </c>
    </row>
    <row r="16" spans="1:21">
      <c r="B16" t="s">
        <v>37</v>
      </c>
      <c r="C16">
        <v>45</v>
      </c>
      <c r="D16">
        <v>120</v>
      </c>
      <c r="E16">
        <v>10</v>
      </c>
      <c r="F16">
        <v>0.8</v>
      </c>
      <c r="G16">
        <f>(2*E16*F16+D16*F16+2*C16*F16)*0.98</f>
        <v>180.32</v>
      </c>
      <c r="H16">
        <f>G16*7.82*10^-3</f>
        <v>1.4101024</v>
      </c>
      <c r="I16" s="12">
        <f>(1/12*F16*D16^3+2*C16*F16*(D16/2)^2 + E16*F16*((D16/2-E16/2)^2+(D16-E16/2)^2))*0.744</f>
        <v>375273.6</v>
      </c>
      <c r="J16">
        <f>SQRT(I16/G16)</f>
        <v>45.619661384979757</v>
      </c>
      <c r="K16" s="12">
        <f>D16*F16*(N16-F16/2)^2+2*F16*C16*(N16-C16/2)+2*F16*E16*(C16-N16)^2</f>
        <v>31223.597049937445</v>
      </c>
      <c r="L16">
        <f>SQRT(K16/G16)</f>
        <v>13.158897906364475</v>
      </c>
      <c r="M16">
        <f>D16/2</f>
        <v>60</v>
      </c>
      <c r="N16">
        <f xml:space="preserve"> ( D16 * F16^2 / 2 + 2 * F16 * C16^2 /2 + 2 * F16*E16  *C16)/G16</f>
        <v>13.189884649511979</v>
      </c>
      <c r="O16">
        <f>(3*C16*D16^2*(C16+2*E16)-8*C16*E16^3)/(D16^2*(D16+6*C16+6*E16)+4*E16^2*(2*E16-3*D16))+N16</f>
        <v>33.051170904240855</v>
      </c>
      <c r="P16">
        <f>(F16^3*D16 + 2*F16^3*C16 + 2*F16^3*E16)/3</f>
        <v>39.253333333333337</v>
      </c>
      <c r="Q16" s="12">
        <f>((C16^3*D16^2*F16)/12)*((2*D16*F16+3*C16*F16)/(D16*F16+6*F16*C16))</f>
        <v>84115384.615384623</v>
      </c>
      <c r="R16" s="12">
        <f>2*(K16+G16*N16^2)</f>
        <v>125188.83740067348</v>
      </c>
      <c r="S16">
        <f>((2*F16)^3*D16 + 2*F16^3*(2*C16) + 4*F16^3*E16)/3</f>
        <v>201.38666666666668</v>
      </c>
      <c r="T16" s="12">
        <f>D16^2/4 * (2*R16)</f>
        <v>901359629.28484905</v>
      </c>
      <c r="U16">
        <f>SQRT(R16/(2*G16))</f>
        <v>18.631415705135108</v>
      </c>
    </row>
    <row r="17" spans="1:21">
      <c r="B17" t="s">
        <v>153</v>
      </c>
      <c r="C17">
        <v>45</v>
      </c>
      <c r="D17">
        <v>120</v>
      </c>
      <c r="E17">
        <v>10</v>
      </c>
      <c r="F17">
        <v>1</v>
      </c>
      <c r="G17">
        <f>(2*E17*F17+D17*F17+2*C17*F17)*0.98</f>
        <v>225.4</v>
      </c>
      <c r="H17">
        <f>G17*7.82*10^-3</f>
        <v>1.7626280000000001</v>
      </c>
      <c r="I17" s="12">
        <f>(1/12*F17*D17^3+2*C17*F17*(D17/2)^2 + E17*F17*((D17/2-E17/2)^2+(D17-E17/2)^2))*0.744</f>
        <v>469092</v>
      </c>
      <c r="J17">
        <f>SQRT(I17/G17)</f>
        <v>45.619661384979757</v>
      </c>
      <c r="K17" s="12">
        <f>D17*F17*(N17-F17/2)^2+2*F17*C17*(N17-C17/2)+2*F17*E17*(C17-N17)^2</f>
        <v>38823.328492617678</v>
      </c>
      <c r="L17">
        <f>SQRT(K17/G17)</f>
        <v>13.1240968747663</v>
      </c>
      <c r="M17">
        <f>D17/2</f>
        <v>60</v>
      </c>
      <c r="N17">
        <f xml:space="preserve"> ( D17 * F17^2 / 2 + 2 * F17 * C17^2 /2 + 2 * F17*E17  *C17)/G17</f>
        <v>13.243123336291038</v>
      </c>
      <c r="O17">
        <f>(3*C17*D17^2*(C17+2*E17)-8*C17*E17^3)/(D17^2*(D17+6*C17+6*E17)+4*E17^2*(2*E17-3*D17))+N17</f>
        <v>33.104409591019916</v>
      </c>
      <c r="P17">
        <f>(F17^3*D17 + 2*F17^3*C17 + 2*F17^3*E17)/3</f>
        <v>76.666666666666671</v>
      </c>
      <c r="Q17" s="12">
        <f>((C17^3*D17^2*F17)/12)*((2*D17*F17+3*C17*F17)/(D17*F17+6*F17*C17))</f>
        <v>105144230.76923077</v>
      </c>
      <c r="R17" s="12">
        <f>2*(K17+G17*N17^2)</f>
        <v>156708.10330289285</v>
      </c>
      <c r="S17">
        <f>((2*F17)^3*D17 + 2*F17^3*(2*C17) + 4*F17^3*E17)/3</f>
        <v>393.33333333333331</v>
      </c>
      <c r="T17" s="12">
        <f>D17^2/4 * (2*R17)</f>
        <v>1128298343.7808285</v>
      </c>
      <c r="U17">
        <f>SQRT(R17/(2*G17))</f>
        <v>18.644630178109377</v>
      </c>
    </row>
    <row r="18" spans="1:21">
      <c r="B18" t="s">
        <v>38</v>
      </c>
      <c r="C18">
        <v>45</v>
      </c>
      <c r="D18">
        <v>125</v>
      </c>
      <c r="E18">
        <v>101</v>
      </c>
      <c r="F18">
        <v>0.8</v>
      </c>
      <c r="G18">
        <v>190</v>
      </c>
      <c r="H18">
        <v>1.49</v>
      </c>
      <c r="I18" s="12">
        <v>456000</v>
      </c>
      <c r="J18">
        <f t="shared" si="0"/>
        <v>48.989794855663561</v>
      </c>
      <c r="K18" s="12">
        <v>55000</v>
      </c>
      <c r="L18">
        <f t="shared" si="1"/>
        <v>17.013926184468012</v>
      </c>
      <c r="M18">
        <v>62.5</v>
      </c>
      <c r="N18">
        <f t="shared" si="2"/>
        <v>47.010526315789477</v>
      </c>
      <c r="O18">
        <f t="shared" si="3"/>
        <v>64.5024202466291</v>
      </c>
      <c r="P18">
        <f t="shared" si="4"/>
        <v>71.168000000000021</v>
      </c>
      <c r="Q18" s="12">
        <f t="shared" si="5"/>
        <v>92518789.556962028</v>
      </c>
      <c r="R18" s="12">
        <f t="shared" si="6"/>
        <v>949796.04210526333</v>
      </c>
      <c r="S18">
        <f t="shared" si="7"/>
        <v>270.33600000000007</v>
      </c>
      <c r="T18" s="12">
        <f t="shared" si="8"/>
        <v>7420281578.9473696</v>
      </c>
      <c r="U18">
        <f t="shared" si="9"/>
        <v>49.994632398869193</v>
      </c>
    </row>
    <row r="19" spans="1:21">
      <c r="B19" t="s">
        <v>39</v>
      </c>
      <c r="C19">
        <v>45</v>
      </c>
      <c r="D19">
        <v>125</v>
      </c>
      <c r="E19">
        <v>15</v>
      </c>
      <c r="F19">
        <v>1</v>
      </c>
      <c r="G19">
        <v>236</v>
      </c>
      <c r="H19">
        <v>1.85</v>
      </c>
      <c r="I19" s="12">
        <v>565000</v>
      </c>
      <c r="J19">
        <f t="shared" si="0"/>
        <v>48.929212098808307</v>
      </c>
      <c r="K19" s="12">
        <v>67000</v>
      </c>
      <c r="L19">
        <f t="shared" si="1"/>
        <v>16.849282034696486</v>
      </c>
      <c r="M19">
        <v>62.5</v>
      </c>
      <c r="N19">
        <f t="shared" si="2"/>
        <v>14.565677966101696</v>
      </c>
      <c r="O19">
        <f t="shared" si="3"/>
        <v>36.166699620356013</v>
      </c>
      <c r="P19">
        <f t="shared" si="4"/>
        <v>81.666666666666671</v>
      </c>
      <c r="Q19" s="12">
        <f t="shared" si="5"/>
        <v>115648486.94620253</v>
      </c>
      <c r="R19" s="12">
        <f t="shared" si="6"/>
        <v>234139.03601694916</v>
      </c>
      <c r="S19">
        <f t="shared" si="7"/>
        <v>413.33333333333331</v>
      </c>
      <c r="T19" s="12">
        <f t="shared" si="8"/>
        <v>1829211218.8824153</v>
      </c>
      <c r="U19">
        <f t="shared" si="9"/>
        <v>22.272343381353615</v>
      </c>
    </row>
    <row r="20" spans="1:21">
      <c r="B20" t="s">
        <v>40</v>
      </c>
      <c r="C20">
        <v>45</v>
      </c>
      <c r="D20">
        <v>140</v>
      </c>
      <c r="E20">
        <v>15</v>
      </c>
      <c r="F20">
        <v>0.8</v>
      </c>
      <c r="G20">
        <v>202</v>
      </c>
      <c r="H20">
        <v>1.58</v>
      </c>
      <c r="I20" s="12">
        <v>595000</v>
      </c>
      <c r="J20">
        <f t="shared" si="0"/>
        <v>54.272871256783951</v>
      </c>
      <c r="K20" s="12">
        <v>57000</v>
      </c>
      <c r="L20">
        <f t="shared" si="1"/>
        <v>16.798161144059257</v>
      </c>
      <c r="M20">
        <v>70</v>
      </c>
      <c r="N20">
        <f t="shared" si="2"/>
        <v>13.58811881188119</v>
      </c>
      <c r="O20">
        <f t="shared" si="3"/>
        <v>34.461756233830599</v>
      </c>
      <c r="P20">
        <f t="shared" si="4"/>
        <v>44.373333333333342</v>
      </c>
      <c r="Q20" s="12">
        <f t="shared" si="5"/>
        <v>120522073.17073171</v>
      </c>
      <c r="R20" s="12">
        <f t="shared" si="6"/>
        <v>188593.33702970299</v>
      </c>
      <c r="S20">
        <f t="shared" si="7"/>
        <v>232.10666666666671</v>
      </c>
      <c r="T20" s="12">
        <f t="shared" si="8"/>
        <v>1848214702.8910892</v>
      </c>
      <c r="U20">
        <f t="shared" si="9"/>
        <v>21.60590638384749</v>
      </c>
    </row>
    <row r="21" spans="1:21">
      <c r="B21" t="s">
        <v>41</v>
      </c>
      <c r="C21">
        <v>45</v>
      </c>
      <c r="D21">
        <v>140</v>
      </c>
      <c r="E21">
        <v>15</v>
      </c>
      <c r="F21">
        <v>1</v>
      </c>
      <c r="G21">
        <v>251</v>
      </c>
      <c r="H21">
        <v>1.97</v>
      </c>
      <c r="I21" s="12">
        <v>738000</v>
      </c>
      <c r="J21">
        <f t="shared" si="0"/>
        <v>54.223971118175228</v>
      </c>
      <c r="K21" s="12">
        <v>70000</v>
      </c>
      <c r="L21">
        <f t="shared" si="1"/>
        <v>16.699834195326442</v>
      </c>
      <c r="M21">
        <v>70</v>
      </c>
      <c r="N21">
        <f t="shared" si="2"/>
        <v>13.725099601593625</v>
      </c>
      <c r="O21">
        <f t="shared" si="3"/>
        <v>34.598737023543038</v>
      </c>
      <c r="P21">
        <f t="shared" si="4"/>
        <v>86.666666666666671</v>
      </c>
      <c r="Q21" s="12">
        <f t="shared" si="5"/>
        <v>150652591.46341464</v>
      </c>
      <c r="R21" s="12">
        <f t="shared" si="6"/>
        <v>234565.93625498007</v>
      </c>
      <c r="S21">
        <f t="shared" si="7"/>
        <v>453.33333333333331</v>
      </c>
      <c r="T21" s="12">
        <f t="shared" si="8"/>
        <v>2298746175.2988048</v>
      </c>
      <c r="U21">
        <f t="shared" si="9"/>
        <v>21.616262887582117</v>
      </c>
    </row>
    <row r="22" spans="1:21">
      <c r="B22" t="s">
        <v>42</v>
      </c>
      <c r="C22">
        <v>45</v>
      </c>
      <c r="D22">
        <v>150</v>
      </c>
      <c r="E22">
        <v>15</v>
      </c>
      <c r="F22">
        <v>0.8</v>
      </c>
      <c r="G22">
        <v>210</v>
      </c>
      <c r="H22">
        <v>1.65</v>
      </c>
      <c r="I22" s="12">
        <v>700000</v>
      </c>
      <c r="J22">
        <f t="shared" si="0"/>
        <v>57.735026918962575</v>
      </c>
      <c r="K22" s="12">
        <v>58000</v>
      </c>
      <c r="L22">
        <f t="shared" si="1"/>
        <v>16.618979396776332</v>
      </c>
      <c r="M22">
        <v>75</v>
      </c>
      <c r="N22">
        <f t="shared" si="2"/>
        <v>13.085714285714285</v>
      </c>
      <c r="O22">
        <f t="shared" si="3"/>
        <v>33.505422314911371</v>
      </c>
      <c r="P22">
        <f t="shared" si="4"/>
        <v>46.080000000000013</v>
      </c>
      <c r="Q22" s="12">
        <f t="shared" si="5"/>
        <v>141569196.42857143</v>
      </c>
      <c r="R22" s="12">
        <f t="shared" si="6"/>
        <v>187919.08571428573</v>
      </c>
      <c r="S22">
        <f t="shared" si="7"/>
        <v>245.76000000000008</v>
      </c>
      <c r="T22" s="12">
        <f t="shared" si="8"/>
        <v>2114089714.2857144</v>
      </c>
      <c r="U22">
        <f t="shared" si="9"/>
        <v>21.152455993520544</v>
      </c>
    </row>
    <row r="23" spans="1:21">
      <c r="B23" t="s">
        <v>43</v>
      </c>
      <c r="C23">
        <v>45</v>
      </c>
      <c r="D23">
        <v>150</v>
      </c>
      <c r="E23">
        <v>15</v>
      </c>
      <c r="F23">
        <v>1</v>
      </c>
      <c r="G23">
        <v>261</v>
      </c>
      <c r="H23">
        <v>2.0499999999999998</v>
      </c>
      <c r="I23" s="12">
        <v>868000</v>
      </c>
      <c r="J23">
        <f t="shared" si="0"/>
        <v>57.668626636016668</v>
      </c>
      <c r="K23" s="12">
        <v>71000</v>
      </c>
      <c r="L23">
        <f t="shared" si="1"/>
        <v>16.493351731561301</v>
      </c>
      <c r="M23">
        <v>75</v>
      </c>
      <c r="N23">
        <f t="shared" si="2"/>
        <v>13.218390804597702</v>
      </c>
      <c r="O23">
        <f t="shared" si="3"/>
        <v>33.638098833794785</v>
      </c>
      <c r="P23">
        <f t="shared" si="4"/>
        <v>90</v>
      </c>
      <c r="Q23" s="12">
        <f t="shared" si="5"/>
        <v>176961495.5357143</v>
      </c>
      <c r="R23" s="12">
        <f t="shared" si="6"/>
        <v>233206.89655172414</v>
      </c>
      <c r="S23">
        <f t="shared" si="7"/>
        <v>480</v>
      </c>
      <c r="T23" s="12">
        <f t="shared" si="8"/>
        <v>2623577586.2068968</v>
      </c>
      <c r="U23">
        <f t="shared" si="9"/>
        <v>21.136615310973262</v>
      </c>
    </row>
    <row r="24" spans="1:21">
      <c r="B24" t="s">
        <v>154</v>
      </c>
      <c r="C24">
        <v>45</v>
      </c>
      <c r="D24">
        <v>160</v>
      </c>
      <c r="E24">
        <v>15</v>
      </c>
      <c r="F24">
        <v>0.8</v>
      </c>
      <c r="G24">
        <v>210</v>
      </c>
      <c r="H24">
        <v>1.65</v>
      </c>
      <c r="I24" s="12">
        <v>700000</v>
      </c>
      <c r="J24">
        <f>SQRT(I24/G24)</f>
        <v>57.735026918962575</v>
      </c>
      <c r="K24" s="12">
        <v>58000</v>
      </c>
      <c r="L24">
        <f>SQRT(K24/G24)</f>
        <v>16.618979396776332</v>
      </c>
      <c r="M24">
        <v>75</v>
      </c>
      <c r="N24">
        <f xml:space="preserve"> ( D24 * F24^2 / 2 + 2 * F24 * C24^2 /2 + 2 * F24*E24  *C24)/G24</f>
        <v>13.10095238095238</v>
      </c>
      <c r="O24">
        <f>(3*C24*D24^2*(C24+2*E24)-8*C24*E24^3)/(D24^2*(D24+6*C24+6*E24)+4*E24^2*(2*E24-3*D24))+N24</f>
        <v>33.088943393581189</v>
      </c>
      <c r="P24">
        <f>(F24^3*D24 + 2*F24^3*C24 + 2*F24^3*E24)/3</f>
        <v>47.786666666666683</v>
      </c>
      <c r="Q24" s="12">
        <f>((C24^3*D24^2*F24)/12)*((2*D24*F24+3*C24*F24)/(D24*F24+6*F24*C24))</f>
        <v>164561860.46511629</v>
      </c>
      <c r="R24" s="12">
        <f>2*(K24+G24*N24^2)</f>
        <v>188086.68038095237</v>
      </c>
      <c r="S24">
        <f>((2*F24)^3*D24 + 2*F24^3*(2*C24) + 4*F24^3*E24)/3</f>
        <v>259.41333333333341</v>
      </c>
      <c r="T24" s="12">
        <f>D24^2/4 * (2*R24)</f>
        <v>2407509508.8761902</v>
      </c>
      <c r="U24">
        <f>SQRT(R24/(2*G24))</f>
        <v>21.161886245759334</v>
      </c>
    </row>
    <row r="25" spans="1:21">
      <c r="B25" t="s">
        <v>155</v>
      </c>
      <c r="C25">
        <v>45</v>
      </c>
      <c r="D25">
        <v>160</v>
      </c>
      <c r="E25">
        <v>15</v>
      </c>
      <c r="F25">
        <v>1</v>
      </c>
      <c r="G25">
        <v>261</v>
      </c>
      <c r="H25">
        <v>2.0499999999999998</v>
      </c>
      <c r="I25" s="12">
        <v>868000</v>
      </c>
      <c r="J25">
        <f>SQRT(I25/G25)</f>
        <v>57.668626636016668</v>
      </c>
      <c r="K25" s="12">
        <v>71000</v>
      </c>
      <c r="L25">
        <f>SQRT(K25/G25)</f>
        <v>16.493351731561301</v>
      </c>
      <c r="M25">
        <v>75</v>
      </c>
      <c r="N25">
        <f xml:space="preserve"> ( D25 * F25^2 / 2 + 2 * F25 * C25^2 /2 + 2 * F25*E25  *C25)/G25</f>
        <v>13.237547892720306</v>
      </c>
      <c r="O25">
        <f>(3*C25*D25^2*(C25+2*E25)-8*C25*E25^3)/(D25^2*(D25+6*C25+6*E25)+4*E25^2*(2*E25-3*D25))+N25</f>
        <v>33.225538905349111</v>
      </c>
      <c r="P25">
        <f>(F25^3*D25 + 2*F25^3*C25 + 2*F25^3*E25)/3</f>
        <v>93.333333333333329</v>
      </c>
      <c r="Q25" s="12">
        <f>((C25^3*D25^2*F25)/12)*((2*D25*F25+3*C25*F25)/(D25*F25+6*F25*C25))</f>
        <v>205702325.58139536</v>
      </c>
      <c r="R25" s="12">
        <f>2*(K25+G25*N25^2)</f>
        <v>233471.45593869733</v>
      </c>
      <c r="S25">
        <f>((2*F25)^3*D25 + 2*F25^3*(2*C25) + 4*F25^3*E25)/3</f>
        <v>506.66666666666669</v>
      </c>
      <c r="T25" s="12">
        <f>D25^2/4 * (2*R25)</f>
        <v>2988434636.0153255</v>
      </c>
      <c r="U25">
        <f>SQRT(R25/(2*G25))</f>
        <v>21.148601030636989</v>
      </c>
    </row>
    <row r="26" spans="1:21">
      <c r="A26" t="s">
        <v>44</v>
      </c>
      <c r="B26" t="s">
        <v>45</v>
      </c>
      <c r="C26">
        <v>40</v>
      </c>
      <c r="D26">
        <v>74</v>
      </c>
      <c r="F26">
        <v>0.6</v>
      </c>
      <c r="G26" s="12">
        <v>124.45</v>
      </c>
      <c r="H26">
        <f t="shared" ref="H26:H31" si="10">G26*7.82*10^-3</f>
        <v>0.97319900000000004</v>
      </c>
      <c r="I26" s="12">
        <v>85757</v>
      </c>
      <c r="J26">
        <f t="shared" si="0"/>
        <v>26.250485464909616</v>
      </c>
      <c r="K26" s="12">
        <v>31270</v>
      </c>
      <c r="L26">
        <f t="shared" si="1"/>
        <v>15.851358569580281</v>
      </c>
      <c r="M26">
        <f t="shared" ref="M26:M31" si="11">D26/2</f>
        <v>37</v>
      </c>
      <c r="Q26" s="12"/>
    </row>
    <row r="27" spans="1:21">
      <c r="B27" t="s">
        <v>158</v>
      </c>
      <c r="C27">
        <v>40</v>
      </c>
      <c r="D27">
        <v>90</v>
      </c>
      <c r="F27">
        <v>0.6</v>
      </c>
      <c r="G27" s="12">
        <v>124</v>
      </c>
      <c r="H27">
        <f t="shared" si="10"/>
        <v>0.9696800000000001</v>
      </c>
      <c r="I27" s="12">
        <v>183557.8</v>
      </c>
      <c r="J27">
        <f>SQRT(I27/G27)</f>
        <v>38.47472987182207</v>
      </c>
      <c r="K27" s="12">
        <v>31270</v>
      </c>
      <c r="L27">
        <f>SQRT(K27/G27)</f>
        <v>15.880095067562999</v>
      </c>
      <c r="M27">
        <f t="shared" si="11"/>
        <v>45</v>
      </c>
      <c r="Q27" s="12"/>
      <c r="R27" s="12"/>
      <c r="T27" s="12"/>
    </row>
    <row r="28" spans="1:21">
      <c r="B28" t="s">
        <v>46</v>
      </c>
      <c r="C28">
        <v>40</v>
      </c>
      <c r="D28">
        <v>100</v>
      </c>
      <c r="F28">
        <v>0.6</v>
      </c>
      <c r="G28" s="12">
        <v>124</v>
      </c>
      <c r="H28">
        <f t="shared" si="10"/>
        <v>0.9696800000000001</v>
      </c>
      <c r="I28" s="12">
        <v>183557.8</v>
      </c>
      <c r="J28">
        <f t="shared" si="0"/>
        <v>38.47472987182207</v>
      </c>
      <c r="K28" s="12">
        <v>31270</v>
      </c>
      <c r="L28">
        <f t="shared" si="1"/>
        <v>15.880095067562999</v>
      </c>
      <c r="M28">
        <f t="shared" si="11"/>
        <v>50</v>
      </c>
      <c r="Q28" s="12"/>
      <c r="R28" s="12"/>
      <c r="T28" s="12"/>
    </row>
    <row r="29" spans="1:21">
      <c r="B29" t="s">
        <v>47</v>
      </c>
      <c r="C29">
        <v>40</v>
      </c>
      <c r="D29">
        <v>124</v>
      </c>
      <c r="F29">
        <v>0.6</v>
      </c>
      <c r="G29" s="12">
        <v>124</v>
      </c>
      <c r="H29">
        <f t="shared" si="10"/>
        <v>0.9696800000000001</v>
      </c>
      <c r="I29" s="12">
        <v>311171.20000000001</v>
      </c>
      <c r="J29">
        <f t="shared" si="0"/>
        <v>50.094362569957134</v>
      </c>
      <c r="K29" s="12">
        <v>31270</v>
      </c>
      <c r="L29">
        <f t="shared" si="1"/>
        <v>15.880095067562999</v>
      </c>
      <c r="M29">
        <f t="shared" si="11"/>
        <v>62</v>
      </c>
      <c r="Q29" s="12"/>
      <c r="R29" s="12"/>
      <c r="T29" s="12"/>
    </row>
    <row r="30" spans="1:21">
      <c r="B30" t="s">
        <v>159</v>
      </c>
      <c r="C30">
        <v>40</v>
      </c>
      <c r="D30">
        <v>150</v>
      </c>
      <c r="F30">
        <v>0.6</v>
      </c>
      <c r="G30" s="12">
        <v>124</v>
      </c>
      <c r="H30">
        <f t="shared" si="10"/>
        <v>0.9696800000000001</v>
      </c>
      <c r="I30" s="12">
        <v>489866.2</v>
      </c>
      <c r="J30">
        <f>SQRT(I30/G30)</f>
        <v>62.853272555752753</v>
      </c>
      <c r="K30" s="12">
        <v>31270</v>
      </c>
      <c r="L30">
        <f>SQRT(K30/G30)</f>
        <v>15.880095067562999</v>
      </c>
      <c r="M30">
        <f t="shared" si="11"/>
        <v>75</v>
      </c>
      <c r="Q30" s="12"/>
      <c r="R30" s="12"/>
      <c r="T30" s="12"/>
    </row>
    <row r="31" spans="1:21">
      <c r="B31" t="s">
        <v>48</v>
      </c>
      <c r="C31">
        <v>40</v>
      </c>
      <c r="D31">
        <v>150</v>
      </c>
      <c r="F31">
        <v>0.6</v>
      </c>
      <c r="G31" s="12">
        <v>124</v>
      </c>
      <c r="H31">
        <f t="shared" si="10"/>
        <v>0.9696800000000001</v>
      </c>
      <c r="I31" s="12">
        <v>489866.2</v>
      </c>
      <c r="J31">
        <f t="shared" si="0"/>
        <v>62.853272555752753</v>
      </c>
      <c r="K31" s="12">
        <v>31270</v>
      </c>
      <c r="L31">
        <f t="shared" si="1"/>
        <v>15.880095067562999</v>
      </c>
      <c r="M31">
        <f t="shared" si="11"/>
        <v>75</v>
      </c>
      <c r="Q31" s="12"/>
      <c r="R31" s="12"/>
      <c r="T31" s="12"/>
    </row>
    <row r="32" spans="1:21">
      <c r="A32" t="s">
        <v>49</v>
      </c>
      <c r="B32" t="s">
        <v>50</v>
      </c>
      <c r="C32">
        <v>35</v>
      </c>
      <c r="D32">
        <v>64</v>
      </c>
      <c r="E32">
        <v>15</v>
      </c>
      <c r="F32">
        <v>0.8</v>
      </c>
      <c r="G32">
        <v>168.6</v>
      </c>
      <c r="H32">
        <f t="shared" ref="H32:H37" si="12">7.2*G32*10^-3</f>
        <v>1.2139200000000001</v>
      </c>
      <c r="I32" s="12">
        <v>173620</v>
      </c>
      <c r="J32">
        <f>SQRT(I32/G32)</f>
        <v>32.090101502988787</v>
      </c>
      <c r="K32" s="12">
        <v>26200</v>
      </c>
      <c r="L32">
        <f>SQRT(K32/G32)</f>
        <v>12.465848959169813</v>
      </c>
      <c r="M32">
        <v>42.99</v>
      </c>
      <c r="N32">
        <f t="shared" ref="N32:N37" si="13" xml:space="preserve"> ( D32 * F32^2 / 2 + 2 * F32 * C32^2 /2 + 2 * F32*E32  *C32)/G32</f>
        <v>10.916251482799526</v>
      </c>
    </row>
    <row r="33" spans="1:21">
      <c r="B33" t="s">
        <v>51</v>
      </c>
      <c r="C33">
        <v>35</v>
      </c>
      <c r="D33">
        <v>75</v>
      </c>
      <c r="E33">
        <v>15</v>
      </c>
      <c r="F33">
        <v>0.8</v>
      </c>
      <c r="G33">
        <v>177.4</v>
      </c>
      <c r="H33">
        <f t="shared" si="12"/>
        <v>1.27728</v>
      </c>
      <c r="I33" s="12">
        <v>231600</v>
      </c>
      <c r="J33">
        <f t="shared" ref="J33:J42" si="14">SQRT(I33/G33)</f>
        <v>36.132038954477672</v>
      </c>
      <c r="K33" s="12">
        <v>27900</v>
      </c>
      <c r="L33">
        <f t="shared" ref="L33:L42" si="15">SQRT(K33/G33)</f>
        <v>12.540801504191467</v>
      </c>
      <c r="M33">
        <v>47.74</v>
      </c>
      <c r="N33">
        <f t="shared" si="13"/>
        <v>10.394588500563698</v>
      </c>
    </row>
    <row r="34" spans="1:21">
      <c r="B34" t="s">
        <v>52</v>
      </c>
      <c r="C34">
        <v>35</v>
      </c>
      <c r="D34">
        <v>92</v>
      </c>
      <c r="E34">
        <v>15</v>
      </c>
      <c r="F34">
        <v>0.8</v>
      </c>
      <c r="G34">
        <v>191</v>
      </c>
      <c r="H34">
        <f t="shared" si="12"/>
        <v>1.3752</v>
      </c>
      <c r="I34" s="12">
        <v>342000</v>
      </c>
      <c r="J34">
        <f t="shared" si="14"/>
        <v>42.315197225469319</v>
      </c>
      <c r="K34" s="12">
        <v>30300</v>
      </c>
      <c r="L34">
        <f t="shared" si="15"/>
        <v>12.595187313235852</v>
      </c>
      <c r="M34">
        <v>55.21</v>
      </c>
      <c r="N34">
        <f t="shared" si="13"/>
        <v>9.6829319371727749</v>
      </c>
    </row>
    <row r="35" spans="1:21">
      <c r="B35" t="s">
        <v>53</v>
      </c>
      <c r="C35">
        <v>35</v>
      </c>
      <c r="D35">
        <v>102</v>
      </c>
      <c r="E35">
        <v>15</v>
      </c>
      <c r="F35">
        <v>0.8</v>
      </c>
      <c r="G35">
        <v>199</v>
      </c>
      <c r="H35">
        <f t="shared" si="12"/>
        <v>1.4328000000000001</v>
      </c>
      <c r="I35" s="12">
        <v>419700</v>
      </c>
      <c r="J35">
        <f t="shared" si="14"/>
        <v>45.924342413698788</v>
      </c>
      <c r="K35" s="12">
        <v>31490</v>
      </c>
      <c r="L35">
        <f t="shared" si="15"/>
        <v>12.579396091631377</v>
      </c>
      <c r="M35">
        <v>59.67</v>
      </c>
      <c r="N35">
        <f t="shared" si="13"/>
        <v>9.3097487437185915</v>
      </c>
    </row>
    <row r="36" spans="1:21">
      <c r="B36" t="s">
        <v>54</v>
      </c>
      <c r="C36">
        <v>35</v>
      </c>
      <c r="D36">
        <v>127</v>
      </c>
      <c r="E36">
        <v>15</v>
      </c>
      <c r="F36">
        <v>0.8</v>
      </c>
      <c r="G36">
        <v>237</v>
      </c>
      <c r="H36">
        <f t="shared" si="12"/>
        <v>1.7064000000000001</v>
      </c>
      <c r="I36" s="12">
        <v>519361</v>
      </c>
      <c r="J36">
        <f t="shared" si="14"/>
        <v>46.812355468108777</v>
      </c>
      <c r="K36" s="12">
        <v>30230</v>
      </c>
      <c r="L36">
        <f t="shared" si="15"/>
        <v>11.293925031450923</v>
      </c>
      <c r="M36">
        <v>60.38</v>
      </c>
      <c r="N36">
        <f t="shared" si="13"/>
        <v>7.8508016877637123</v>
      </c>
    </row>
    <row r="37" spans="1:21">
      <c r="B37" t="s">
        <v>55</v>
      </c>
      <c r="C37">
        <v>35</v>
      </c>
      <c r="D37">
        <v>152</v>
      </c>
      <c r="E37">
        <v>15</v>
      </c>
      <c r="F37">
        <v>0.8</v>
      </c>
      <c r="G37">
        <v>239</v>
      </c>
      <c r="H37">
        <f t="shared" si="12"/>
        <v>1.7207999999999999</v>
      </c>
      <c r="I37" s="12">
        <v>963600</v>
      </c>
      <c r="J37">
        <f t="shared" si="14"/>
        <v>63.496450004546837</v>
      </c>
      <c r="K37" s="12">
        <v>36410</v>
      </c>
      <c r="L37">
        <f t="shared" si="15"/>
        <v>12.342734552533715</v>
      </c>
      <c r="M37">
        <v>82.52</v>
      </c>
      <c r="N37">
        <f t="shared" si="13"/>
        <v>7.8185774058577406</v>
      </c>
    </row>
    <row r="38" spans="1:21">
      <c r="A38" t="s">
        <v>56</v>
      </c>
      <c r="B38" t="s">
        <v>178</v>
      </c>
      <c r="C38">
        <v>40</v>
      </c>
      <c r="D38">
        <v>74</v>
      </c>
      <c r="F38">
        <v>0.6</v>
      </c>
      <c r="G38">
        <v>113.32299999999999</v>
      </c>
      <c r="H38">
        <f t="shared" ref="H38:H43" si="16">G38*7.82*10^-3</f>
        <v>0.88618585999999999</v>
      </c>
      <c r="I38" s="12">
        <v>42132</v>
      </c>
      <c r="J38">
        <f t="shared" si="14"/>
        <v>19.28177479871335</v>
      </c>
      <c r="K38" s="12">
        <v>21343</v>
      </c>
      <c r="L38">
        <f t="shared" si="15"/>
        <v>13.723620521114256</v>
      </c>
      <c r="M38">
        <v>51.4</v>
      </c>
      <c r="Q38" s="12">
        <f>((C38^3*D38^2*F38)/12)*((2*D38*F38+3*C38*F38)/(D38*F38+6*F38*C38))</f>
        <v>14956107.006369427</v>
      </c>
    </row>
    <row r="39" spans="1:21">
      <c r="B39" t="s">
        <v>179</v>
      </c>
      <c r="C39">
        <v>40</v>
      </c>
      <c r="D39">
        <v>90</v>
      </c>
      <c r="F39">
        <v>0.6</v>
      </c>
      <c r="G39">
        <v>128.32300000000001</v>
      </c>
      <c r="H39">
        <f t="shared" si="16"/>
        <v>1.0034858600000001</v>
      </c>
      <c r="I39" s="12">
        <v>103939</v>
      </c>
      <c r="J39">
        <f t="shared" si="14"/>
        <v>28.460138876035849</v>
      </c>
      <c r="K39" s="12">
        <v>24024</v>
      </c>
      <c r="L39">
        <f t="shared" si="15"/>
        <v>13.682655972454359</v>
      </c>
      <c r="Q39" s="12"/>
    </row>
    <row r="40" spans="1:21">
      <c r="B40" t="s">
        <v>180</v>
      </c>
      <c r="C40">
        <v>40</v>
      </c>
      <c r="D40">
        <v>100</v>
      </c>
      <c r="F40">
        <v>0.6</v>
      </c>
      <c r="G40">
        <v>143.32300000000001</v>
      </c>
      <c r="H40">
        <f t="shared" si="16"/>
        <v>1.1207858600000002</v>
      </c>
      <c r="I40" s="12">
        <v>199799</v>
      </c>
      <c r="J40">
        <f t="shared" si="14"/>
        <v>37.336938983955456</v>
      </c>
      <c r="K40" s="12">
        <v>26144</v>
      </c>
      <c r="L40">
        <f t="shared" si="15"/>
        <v>13.506041267355757</v>
      </c>
      <c r="Q40" s="12"/>
    </row>
    <row r="41" spans="1:21">
      <c r="B41" t="s">
        <v>181</v>
      </c>
      <c r="C41">
        <v>40</v>
      </c>
      <c r="D41">
        <v>1240</v>
      </c>
      <c r="F41">
        <v>0.6</v>
      </c>
      <c r="G41">
        <v>157.72300000000001</v>
      </c>
      <c r="H41">
        <f t="shared" si="16"/>
        <v>1.2333938600000001</v>
      </c>
      <c r="I41" s="12">
        <v>328211</v>
      </c>
      <c r="J41">
        <f t="shared" si="14"/>
        <v>45.617244854955445</v>
      </c>
      <c r="K41" s="12">
        <v>27799</v>
      </c>
      <c r="L41">
        <f t="shared" si="15"/>
        <v>13.275994757406744</v>
      </c>
      <c r="Q41" s="12"/>
    </row>
    <row r="42" spans="1:21">
      <c r="B42" t="s">
        <v>182</v>
      </c>
      <c r="C42">
        <v>40</v>
      </c>
      <c r="D42">
        <v>140</v>
      </c>
      <c r="F42">
        <v>0.6</v>
      </c>
      <c r="G42">
        <v>173.32300000000001</v>
      </c>
      <c r="H42">
        <f t="shared" si="16"/>
        <v>1.3553858600000002</v>
      </c>
      <c r="I42" s="12">
        <v>512424</v>
      </c>
      <c r="J42">
        <f t="shared" si="14"/>
        <v>54.373417758152172</v>
      </c>
      <c r="K42" s="12">
        <v>29283</v>
      </c>
      <c r="L42">
        <f t="shared" si="15"/>
        <v>12.998094347320281</v>
      </c>
      <c r="Q42" s="12"/>
    </row>
    <row r="43" spans="1:21">
      <c r="B43" t="s">
        <v>183</v>
      </c>
      <c r="C43">
        <v>40</v>
      </c>
      <c r="D43">
        <v>154</v>
      </c>
      <c r="F43">
        <v>0.6</v>
      </c>
      <c r="G43">
        <v>157.72300000000001</v>
      </c>
      <c r="H43">
        <f t="shared" si="16"/>
        <v>1.2333938600000001</v>
      </c>
      <c r="I43" s="12">
        <v>328211</v>
      </c>
      <c r="J43">
        <f>SQRT(I43/G43)</f>
        <v>45.617244854955445</v>
      </c>
      <c r="K43" s="12">
        <v>27799</v>
      </c>
      <c r="L43">
        <f>SQRT(K43/G43)</f>
        <v>13.275994757406744</v>
      </c>
      <c r="Q43" s="12"/>
    </row>
    <row r="44" spans="1:21">
      <c r="A44" t="s">
        <v>160</v>
      </c>
      <c r="B44" t="s">
        <v>30</v>
      </c>
      <c r="C44">
        <v>45</v>
      </c>
      <c r="D44">
        <v>75</v>
      </c>
      <c r="E44">
        <v>10</v>
      </c>
      <c r="F44">
        <v>0.8</v>
      </c>
      <c r="G44">
        <v>150</v>
      </c>
      <c r="H44">
        <v>1.17</v>
      </c>
      <c r="I44" s="12">
        <v>140000</v>
      </c>
      <c r="J44">
        <f>SQRT(I44/G44)</f>
        <v>30.550504633038933</v>
      </c>
      <c r="K44" s="12">
        <v>46000</v>
      </c>
      <c r="L44">
        <f>SQRT(K44/G44)</f>
        <v>17.511900715418264</v>
      </c>
      <c r="M44">
        <v>37.5</v>
      </c>
      <c r="N44">
        <f xml:space="preserve"> ( D44 * F44^2 / 2 + 2 * F44 * C44^2 /2 + 2 * F44*E44  *C44)/G44</f>
        <v>15.76</v>
      </c>
      <c r="O44">
        <f>(3*C44*D44^2*(C44+2*E44)-8*C44*E44^3)/(D44^2*(D44+6*C44+6*E44)+4*E44^2*(2*E44-3*D44))+N44</f>
        <v>38.071742273322329</v>
      </c>
      <c r="P44">
        <f>(F44^3*D44 + 2*F44^3*C44 + 2*F44^3*E44)/3</f>
        <v>31.573333333333341</v>
      </c>
      <c r="Q44" s="12">
        <f>((C44^3*D44^2*F44)/12)*((2*D44*F44+3*C44*F44)/(D44*F44+6*F44*C44))</f>
        <v>28228940.217391305</v>
      </c>
      <c r="R44" s="12">
        <f>2*(K44+G44*N44^2)</f>
        <v>166513.28</v>
      </c>
      <c r="S44">
        <f>((2*F44)^3*D44 + 2*F44^3*(2*C44) + 4*F44^3*E44)/3</f>
        <v>139.94666666666669</v>
      </c>
      <c r="T44" s="12">
        <f>D44^2/4 * (2*R44)</f>
        <v>468318600</v>
      </c>
      <c r="U44">
        <f>SQRT(R44/(2*G44))</f>
        <v>23.559377467723266</v>
      </c>
    </row>
    <row r="45" spans="1:21">
      <c r="B45" t="s">
        <v>34</v>
      </c>
      <c r="C45">
        <v>45</v>
      </c>
      <c r="D45">
        <v>100</v>
      </c>
      <c r="E45">
        <v>10</v>
      </c>
      <c r="F45">
        <v>0.8</v>
      </c>
      <c r="G45">
        <v>170</v>
      </c>
      <c r="H45">
        <v>1.3</v>
      </c>
      <c r="I45" s="12">
        <v>272000</v>
      </c>
      <c r="J45">
        <f>SQRT(I45/G45)</f>
        <v>40</v>
      </c>
      <c r="K45" s="12">
        <v>51000</v>
      </c>
      <c r="L45">
        <f>SQRT(K45/G45)</f>
        <v>17.320508075688775</v>
      </c>
      <c r="M45">
        <v>50</v>
      </c>
      <c r="N45">
        <f xml:space="preserve"> ( D45 * F45^2 / 2 + 2 * F45 * C45^2 /2 + 2 * F45*E45  *C45)/G45</f>
        <v>13.952941176470588</v>
      </c>
      <c r="O45">
        <f>(3*C45*D45^2*(C45+2*E45)-8*C45*E45^3)/(D45^2*(D45+6*C45+6*E45)+4*E45^2*(2*E45-3*D45))+N45</f>
        <v>34.819703354121017</v>
      </c>
      <c r="P45">
        <f>(F45^3*D45 + 2*F45^3*C45 + 2*F45^3*E45)/3</f>
        <v>35.840000000000011</v>
      </c>
      <c r="Q45" s="12">
        <f>((C45^3*D45^2*F45)/12)*((2*D45*F45+3*C45*F45)/(D45*F45+6*F45*C45))</f>
        <v>55003378.378378376</v>
      </c>
      <c r="R45" s="12">
        <f>2*(K45+G45*N45^2)</f>
        <v>168192.75294117647</v>
      </c>
      <c r="S45">
        <f>((2*F45)^3*D45 + 2*F45^3*(2*C45) + 4*F45^3*E45)/3</f>
        <v>174.08000000000004</v>
      </c>
      <c r="T45" s="12">
        <f>D45^2/4 * (2*R45)</f>
        <v>840963764.70588231</v>
      </c>
      <c r="U45">
        <f>SQRT(R45/(2*G45))</f>
        <v>22.241505512758089</v>
      </c>
    </row>
    <row r="46" spans="1:21">
      <c r="B46" t="s">
        <v>38</v>
      </c>
      <c r="C46">
        <v>45</v>
      </c>
      <c r="D46">
        <v>125</v>
      </c>
      <c r="E46">
        <v>101</v>
      </c>
      <c r="F46">
        <v>0.8</v>
      </c>
      <c r="G46">
        <v>190</v>
      </c>
      <c r="H46">
        <v>1.49</v>
      </c>
      <c r="I46" s="12">
        <v>456000</v>
      </c>
      <c r="J46">
        <f>SQRT(I46/G46)</f>
        <v>48.989794855663561</v>
      </c>
      <c r="K46" s="12">
        <v>55000</v>
      </c>
      <c r="L46">
        <f>SQRT(K46/G46)</f>
        <v>17.013926184468012</v>
      </c>
      <c r="M46">
        <v>62.5</v>
      </c>
      <c r="N46">
        <f xml:space="preserve"> ( D46 * F46^2 / 2 + 2 * F46 * C46^2 /2 + 2 * F46*E46  *C46)/G46</f>
        <v>47.010526315789477</v>
      </c>
      <c r="O46">
        <f>(3*C46*D46^2*(C46+2*E46)-8*C46*E46^3)/(D46^2*(D46+6*C46+6*E46)+4*E46^2*(2*E46-3*D46))+N46</f>
        <v>64.5024202466291</v>
      </c>
      <c r="P46">
        <f>(F46^3*D46 + 2*F46^3*C46 + 2*F46^3*E46)/3</f>
        <v>71.168000000000021</v>
      </c>
      <c r="Q46" s="12">
        <f>((C46^3*D46^2*F46)/12)*((2*D46*F46+3*C46*F46)/(D46*F46+6*F46*C46))</f>
        <v>92518789.556962028</v>
      </c>
      <c r="R46" s="12">
        <f>2*(K46+G46*N46^2)</f>
        <v>949796.04210526333</v>
      </c>
      <c r="S46">
        <f>((2*F46)^3*D46 + 2*F46^3*(2*C46) + 4*F46^3*E46)/3</f>
        <v>270.33600000000007</v>
      </c>
      <c r="T46" s="12">
        <f>D46^2/4 * (2*R46)</f>
        <v>7420281578.9473696</v>
      </c>
      <c r="U46">
        <f>SQRT(R46/(2*G46))</f>
        <v>49.994632398869193</v>
      </c>
    </row>
    <row r="47" spans="1:21">
      <c r="B47" t="s">
        <v>42</v>
      </c>
      <c r="C47">
        <v>45</v>
      </c>
      <c r="D47">
        <v>150</v>
      </c>
      <c r="E47">
        <v>15</v>
      </c>
      <c r="F47">
        <v>0.8</v>
      </c>
      <c r="G47">
        <v>210</v>
      </c>
      <c r="H47">
        <v>1.65</v>
      </c>
      <c r="I47" s="12">
        <v>700000</v>
      </c>
      <c r="J47">
        <f>SQRT(I47/G47)</f>
        <v>57.735026918962575</v>
      </c>
      <c r="K47" s="12">
        <v>58000</v>
      </c>
      <c r="L47">
        <f>SQRT(K47/G47)</f>
        <v>16.618979396776332</v>
      </c>
      <c r="M47">
        <v>75</v>
      </c>
      <c r="N47">
        <f xml:space="preserve"> ( D47 * F47^2 / 2 + 2 * F47 * C47^2 /2 + 2 * F47*E47  *C47)/G47</f>
        <v>13.085714285714285</v>
      </c>
      <c r="O47">
        <f>(3*C47*D47^2*(C47+2*E47)-8*C47*E47^3)/(D47^2*(D47+6*C47+6*E47)+4*E47^2*(2*E47-3*D47))+N47</f>
        <v>33.505422314911371</v>
      </c>
      <c r="P47">
        <f>(F47^3*D47 + 2*F47^3*C47 + 2*F47^3*E47)/3</f>
        <v>46.080000000000013</v>
      </c>
      <c r="Q47" s="12">
        <f>((C47^3*D47^2*F47)/12)*((2*D47*F47+3*C47*F47)/(D47*F47+6*F47*C47))</f>
        <v>141569196.42857143</v>
      </c>
      <c r="R47" s="12">
        <f>2*(K47+G47*N47^2)</f>
        <v>187919.08571428573</v>
      </c>
      <c r="S47">
        <f>((2*F47)^3*D47 + 2*F47^3*(2*C47) + 4*F47^3*E47)/3</f>
        <v>245.76000000000008</v>
      </c>
      <c r="T47" s="12">
        <f>D47^2/4 * (2*R47)</f>
        <v>2114089714.2857144</v>
      </c>
      <c r="U47">
        <f>SQRT(R47/(2*G47))</f>
        <v>21.152455993520544</v>
      </c>
    </row>
    <row r="48" spans="1:21">
      <c r="A48" t="s">
        <v>67</v>
      </c>
      <c r="B48" t="s">
        <v>161</v>
      </c>
    </row>
    <row r="49" spans="1:2">
      <c r="B49" t="s">
        <v>162</v>
      </c>
    </row>
    <row r="50" spans="1:2">
      <c r="B50" t="s">
        <v>163</v>
      </c>
    </row>
    <row r="51" spans="1:2">
      <c r="B51" t="s">
        <v>164</v>
      </c>
    </row>
    <row r="52" spans="1:2">
      <c r="A52" t="s">
        <v>165</v>
      </c>
      <c r="B52" t="s">
        <v>167</v>
      </c>
    </row>
    <row r="53" spans="1:2">
      <c r="B53" t="s">
        <v>166</v>
      </c>
    </row>
    <row r="54" spans="1:2">
      <c r="B54" t="s">
        <v>168</v>
      </c>
    </row>
    <row r="55" spans="1:2">
      <c r="B55" t="s">
        <v>169</v>
      </c>
    </row>
    <row r="56" spans="1:2">
      <c r="B56" t="s">
        <v>170</v>
      </c>
    </row>
    <row r="57" spans="1:2">
      <c r="B57" t="s">
        <v>171</v>
      </c>
    </row>
    <row r="58" spans="1:2">
      <c r="B58" t="s">
        <v>172</v>
      </c>
    </row>
    <row r="59" spans="1:2">
      <c r="A59" t="s">
        <v>151</v>
      </c>
      <c r="B59" t="s">
        <v>173</v>
      </c>
    </row>
    <row r="60" spans="1:2">
      <c r="B60" t="s">
        <v>174</v>
      </c>
    </row>
    <row r="61" spans="1:2">
      <c r="B61" t="s">
        <v>184</v>
      </c>
    </row>
    <row r="62" spans="1:2">
      <c r="B62" t="s">
        <v>175</v>
      </c>
    </row>
    <row r="63" spans="1:2">
      <c r="B63" t="s">
        <v>176</v>
      </c>
    </row>
    <row r="64" spans="1:2">
      <c r="B64" t="s">
        <v>177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BA34A-82ED-42D1-BE26-905F485929E4}">
  <dimension ref="B2:T45"/>
  <sheetViews>
    <sheetView view="pageBreakPreview" zoomScale="205" zoomScaleSheetLayoutView="205" workbookViewId="0">
      <selection activeCell="J12" sqref="J12"/>
    </sheetView>
  </sheetViews>
  <sheetFormatPr defaultColWidth="9" defaultRowHeight="12"/>
  <cols>
    <col min="2" max="2" width="17.140625" bestFit="1" customWidth="1"/>
  </cols>
  <sheetData>
    <row r="2" spans="2:20">
      <c r="B2" t="s">
        <v>25</v>
      </c>
      <c r="C2" t="s">
        <v>58</v>
      </c>
      <c r="I2" s="12"/>
      <c r="K2" s="12"/>
      <c r="Q2" s="12"/>
      <c r="R2" s="12"/>
      <c r="T2" s="12"/>
    </row>
    <row r="3" spans="2:20">
      <c r="B3" t="s">
        <v>25</v>
      </c>
      <c r="C3" t="s">
        <v>59</v>
      </c>
      <c r="I3" s="12"/>
      <c r="K3" s="12"/>
      <c r="Q3" s="12"/>
      <c r="R3" s="12"/>
      <c r="T3" s="12"/>
    </row>
    <row r="4" spans="2:20">
      <c r="B4" t="s">
        <v>25</v>
      </c>
      <c r="C4" t="s">
        <v>60</v>
      </c>
      <c r="I4" s="12"/>
      <c r="K4" s="12"/>
      <c r="Q4" s="12"/>
      <c r="R4" s="12"/>
      <c r="T4" s="12"/>
    </row>
    <row r="5" spans="2:20">
      <c r="B5" t="s">
        <v>25</v>
      </c>
      <c r="C5" t="s">
        <v>61</v>
      </c>
      <c r="I5" s="12"/>
      <c r="K5" s="12"/>
      <c r="Q5" s="12"/>
      <c r="R5" s="12"/>
      <c r="T5" s="12"/>
    </row>
    <row r="6" spans="2:20">
      <c r="B6" t="s">
        <v>49</v>
      </c>
      <c r="I6" s="12"/>
      <c r="K6" s="12"/>
      <c r="Q6" s="12"/>
      <c r="R6" s="12"/>
      <c r="T6" s="12"/>
    </row>
    <row r="7" spans="2:20">
      <c r="B7" t="s">
        <v>62</v>
      </c>
      <c r="I7" s="12"/>
      <c r="K7" s="12"/>
      <c r="Q7" s="12"/>
      <c r="R7" s="12"/>
      <c r="T7" s="12"/>
    </row>
    <row r="8" spans="2:20">
      <c r="B8" t="s">
        <v>63</v>
      </c>
      <c r="I8" s="12"/>
      <c r="K8" s="12"/>
      <c r="Q8" s="12"/>
      <c r="R8" s="12"/>
      <c r="T8" s="12"/>
    </row>
    <row r="9" spans="2:20">
      <c r="B9" t="s">
        <v>64</v>
      </c>
      <c r="I9" s="12"/>
      <c r="K9" s="12"/>
      <c r="Q9" s="12"/>
      <c r="R9" s="12"/>
      <c r="T9" s="12"/>
    </row>
    <row r="10" spans="2:20">
      <c r="B10" t="s">
        <v>44</v>
      </c>
      <c r="I10" s="12"/>
      <c r="K10" s="12"/>
      <c r="Q10" s="12"/>
      <c r="R10" s="12"/>
      <c r="T10" s="12"/>
    </row>
    <row r="11" spans="2:20">
      <c r="B11" t="s">
        <v>65</v>
      </c>
      <c r="I11" s="12"/>
      <c r="K11" s="12"/>
      <c r="Q11" s="12"/>
      <c r="R11" s="12"/>
      <c r="T11" s="12"/>
    </row>
    <row r="12" spans="2:20">
      <c r="B12" t="s">
        <v>66</v>
      </c>
      <c r="I12" s="12"/>
      <c r="K12" s="12"/>
      <c r="Q12" s="12"/>
      <c r="R12" s="12"/>
      <c r="T12" s="12"/>
    </row>
    <row r="13" spans="2:20">
      <c r="B13" t="s">
        <v>57</v>
      </c>
      <c r="I13" s="12"/>
      <c r="K13" s="12"/>
      <c r="Q13" s="12"/>
      <c r="R13" s="12"/>
      <c r="T13" s="12"/>
    </row>
    <row r="14" spans="2:20">
      <c r="B14" t="s">
        <v>67</v>
      </c>
      <c r="I14" s="12"/>
      <c r="K14" s="12"/>
      <c r="Q14" s="12"/>
      <c r="R14" s="12"/>
      <c r="T14" s="12"/>
    </row>
    <row r="15" spans="2:20">
      <c r="I15" s="12"/>
      <c r="K15" s="12"/>
      <c r="Q15" s="12"/>
      <c r="R15" s="12"/>
      <c r="T15" s="12"/>
    </row>
    <row r="16" spans="2:20">
      <c r="I16" s="12"/>
      <c r="K16" s="12"/>
      <c r="Q16" s="12"/>
      <c r="R16" s="12"/>
      <c r="T16" s="12"/>
    </row>
    <row r="17" spans="7:20">
      <c r="I17" s="12"/>
      <c r="K17" s="12"/>
      <c r="Q17" s="12"/>
      <c r="R17" s="12"/>
      <c r="T17" s="12"/>
    </row>
    <row r="18" spans="7:20">
      <c r="I18" s="12"/>
      <c r="K18" s="12"/>
      <c r="Q18" s="12"/>
      <c r="R18" s="12"/>
      <c r="T18" s="12"/>
    </row>
    <row r="19" spans="7:20">
      <c r="I19" s="12"/>
      <c r="K19" s="12"/>
      <c r="Q19" s="12"/>
      <c r="R19" s="12"/>
      <c r="T19" s="12"/>
    </row>
    <row r="20" spans="7:20">
      <c r="I20" s="12"/>
      <c r="K20" s="12"/>
      <c r="Q20" s="12"/>
      <c r="R20" s="12"/>
      <c r="T20" s="12"/>
    </row>
    <row r="21" spans="7:20">
      <c r="I21" s="12"/>
      <c r="K21" s="12"/>
      <c r="Q21" s="12"/>
      <c r="R21" s="12"/>
      <c r="T21" s="12"/>
    </row>
    <row r="22" spans="7:20">
      <c r="I22" s="12"/>
      <c r="K22" s="12"/>
      <c r="Q22" s="12"/>
      <c r="R22" s="12"/>
      <c r="T22" s="12"/>
    </row>
    <row r="23" spans="7:20">
      <c r="I23" s="12"/>
      <c r="K23" s="12"/>
      <c r="Q23" s="12"/>
      <c r="R23" s="12"/>
      <c r="T23" s="12"/>
    </row>
    <row r="24" spans="7:20">
      <c r="I24" s="12"/>
      <c r="K24" s="12"/>
      <c r="Q24" s="12"/>
      <c r="R24" s="12"/>
      <c r="T24" s="12"/>
    </row>
    <row r="25" spans="7:20">
      <c r="G25" s="12"/>
      <c r="I25" s="12"/>
      <c r="K25" s="12"/>
      <c r="Q25" s="12"/>
    </row>
    <row r="26" spans="7:20">
      <c r="G26" s="12"/>
      <c r="I26" s="12"/>
      <c r="K26" s="12"/>
      <c r="Q26" s="12"/>
      <c r="R26" s="12"/>
      <c r="T26" s="12"/>
    </row>
    <row r="27" spans="7:20">
      <c r="G27" s="12"/>
      <c r="I27" s="12"/>
      <c r="K27" s="12"/>
      <c r="Q27" s="12"/>
      <c r="R27" s="12"/>
      <c r="T27" s="12"/>
    </row>
    <row r="28" spans="7:20">
      <c r="G28" s="12"/>
      <c r="I28" s="12"/>
      <c r="K28" s="12"/>
      <c r="Q28" s="12"/>
      <c r="R28" s="12"/>
      <c r="T28" s="12"/>
    </row>
    <row r="29" spans="7:20">
      <c r="I29" s="12"/>
      <c r="K29" s="12"/>
    </row>
    <row r="30" spans="7:20">
      <c r="I30" s="12"/>
      <c r="K30" s="12"/>
    </row>
    <row r="31" spans="7:20">
      <c r="I31" s="12"/>
      <c r="K31" s="12"/>
    </row>
    <row r="32" spans="7:20">
      <c r="I32" s="12"/>
      <c r="K32" s="12"/>
    </row>
    <row r="33" spans="9:20">
      <c r="I33" s="12"/>
      <c r="K33" s="12"/>
    </row>
    <row r="34" spans="9:20">
      <c r="I34" s="12"/>
      <c r="K34" s="12"/>
    </row>
    <row r="35" spans="9:20">
      <c r="I35" s="12"/>
      <c r="K35" s="12"/>
      <c r="Q35" s="12"/>
    </row>
    <row r="36" spans="9:20">
      <c r="I36" s="12"/>
      <c r="K36" s="12"/>
      <c r="Q36" s="12"/>
    </row>
    <row r="37" spans="9:20">
      <c r="I37" s="12"/>
      <c r="K37" s="12"/>
      <c r="Q37" s="12"/>
    </row>
    <row r="38" spans="9:20">
      <c r="I38" s="12"/>
      <c r="K38" s="12"/>
      <c r="Q38" s="12"/>
    </row>
    <row r="39" spans="9:20">
      <c r="I39" s="12"/>
      <c r="K39" s="12"/>
      <c r="Q39" s="12"/>
    </row>
    <row r="40" spans="9:20">
      <c r="I40" s="12"/>
      <c r="K40" s="12"/>
      <c r="Q40" s="12"/>
    </row>
    <row r="41" spans="9:20">
      <c r="I41" s="12"/>
      <c r="K41" s="12"/>
      <c r="Q41" s="12"/>
      <c r="R41" s="12"/>
      <c r="T41" s="12"/>
    </row>
    <row r="42" spans="9:20">
      <c r="I42" s="12"/>
      <c r="K42" s="12"/>
      <c r="Q42" s="12"/>
      <c r="R42" s="12"/>
      <c r="T42" s="12"/>
    </row>
    <row r="43" spans="9:20">
      <c r="I43" s="12"/>
      <c r="K43" s="12"/>
      <c r="Q43" s="12"/>
      <c r="R43" s="12"/>
      <c r="T43" s="12"/>
    </row>
    <row r="44" spans="9:20">
      <c r="I44" s="12"/>
      <c r="K44" s="12"/>
      <c r="Q44" s="12"/>
      <c r="R44" s="12"/>
      <c r="T44" s="12"/>
    </row>
    <row r="45" spans="9:20">
      <c r="I45" s="12"/>
      <c r="K45" s="12"/>
      <c r="Q45" s="12"/>
      <c r="R45" s="12"/>
      <c r="T45" s="12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0EA46-4AC0-4E71-ACF2-BE9169C5637B}">
  <dimension ref="A1:O87"/>
  <sheetViews>
    <sheetView workbookViewId="0">
      <pane xSplit="2" ySplit="5" topLeftCell="C26" activePane="bottomRight" state="frozen"/>
      <selection pane="topRight"/>
      <selection pane="bottomLeft"/>
      <selection pane="bottomRight" activeCell="C65" sqref="C65"/>
    </sheetView>
  </sheetViews>
  <sheetFormatPr defaultColWidth="9.140625" defaultRowHeight="16.5"/>
  <cols>
    <col min="1" max="1" width="18.140625" style="67" customWidth="1"/>
    <col min="2" max="2" width="25.140625" style="67" customWidth="1"/>
    <col min="3" max="4" width="10.140625" style="67" customWidth="1"/>
    <col min="5" max="5" width="9.140625" style="67" customWidth="1"/>
    <col min="6" max="6" width="12.5703125" style="67" customWidth="1"/>
    <col min="7" max="8" width="10.140625" style="67" customWidth="1"/>
    <col min="9" max="10" width="14.85546875" style="67" customWidth="1"/>
    <col min="11" max="12" width="13.85546875" style="67" customWidth="1"/>
    <col min="13" max="14" width="10.140625" style="67" customWidth="1"/>
    <col min="15" max="15" width="0" style="67" hidden="1" customWidth="1"/>
    <col min="16" max="16384" width="9.140625" style="67"/>
  </cols>
  <sheetData>
    <row r="1" spans="1:15" ht="27.95" customHeight="1">
      <c r="A1" s="116" t="s">
        <v>203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</row>
    <row r="2" spans="1:15">
      <c r="A2" s="117" t="s">
        <v>204</v>
      </c>
      <c r="B2" s="112"/>
      <c r="C2" s="112"/>
      <c r="D2" s="112"/>
      <c r="E2" s="112"/>
      <c r="F2" s="112"/>
      <c r="G2" s="112"/>
      <c r="H2" s="112"/>
      <c r="I2" s="112"/>
      <c r="J2" s="112"/>
      <c r="K2" s="112"/>
      <c r="L2" s="112"/>
      <c r="M2" s="112"/>
      <c r="N2" s="112"/>
    </row>
    <row r="4" spans="1:15" ht="21.95" customHeight="1">
      <c r="A4" s="118" t="s">
        <v>205</v>
      </c>
      <c r="B4" s="118" t="s">
        <v>206</v>
      </c>
      <c r="C4" s="118" t="s">
        <v>207</v>
      </c>
      <c r="D4" s="119"/>
      <c r="E4" s="120"/>
      <c r="F4" s="118" t="s">
        <v>208</v>
      </c>
      <c r="G4" s="118" t="s">
        <v>209</v>
      </c>
      <c r="H4" s="120"/>
      <c r="I4" s="118" t="s">
        <v>210</v>
      </c>
      <c r="J4" s="120"/>
      <c r="K4" s="118" t="s">
        <v>211</v>
      </c>
      <c r="L4" s="120"/>
      <c r="M4" s="118" t="s">
        <v>212</v>
      </c>
      <c r="N4" s="120"/>
    </row>
    <row r="5" spans="1:15" ht="18" customHeight="1">
      <c r="A5" s="115"/>
      <c r="B5" s="115"/>
      <c r="C5" s="68" t="s">
        <v>213</v>
      </c>
      <c r="D5" s="68" t="s">
        <v>214</v>
      </c>
      <c r="E5" s="68" t="s">
        <v>215</v>
      </c>
      <c r="F5" s="115"/>
      <c r="G5" s="68" t="s">
        <v>216</v>
      </c>
      <c r="H5" s="68" t="s">
        <v>217</v>
      </c>
      <c r="I5" s="68" t="s">
        <v>218</v>
      </c>
      <c r="J5" s="68" t="s">
        <v>219</v>
      </c>
      <c r="K5" s="68" t="s">
        <v>220</v>
      </c>
      <c r="L5" s="68" t="s">
        <v>221</v>
      </c>
      <c r="M5" s="68" t="s">
        <v>222</v>
      </c>
      <c r="N5" s="68" t="s">
        <v>223</v>
      </c>
      <c r="O5" s="67" t="s">
        <v>296</v>
      </c>
    </row>
    <row r="6" spans="1:15">
      <c r="A6" s="113" t="s">
        <v>224</v>
      </c>
      <c r="B6" s="70" t="s">
        <v>225</v>
      </c>
      <c r="C6" s="71">
        <v>124</v>
      </c>
      <c r="D6" s="71">
        <v>45</v>
      </c>
      <c r="E6" s="71"/>
      <c r="F6" s="71">
        <v>205.03</v>
      </c>
      <c r="G6" s="71">
        <v>16.13</v>
      </c>
      <c r="H6" s="71">
        <v>62</v>
      </c>
      <c r="I6" s="72">
        <v>449540</v>
      </c>
      <c r="J6" s="72">
        <v>44008</v>
      </c>
      <c r="K6" s="72">
        <v>7251</v>
      </c>
      <c r="L6" s="72">
        <v>1524</v>
      </c>
      <c r="M6" s="71">
        <v>46.82</v>
      </c>
      <c r="N6" s="71">
        <v>14.65</v>
      </c>
      <c r="O6" s="67" t="s">
        <v>224</v>
      </c>
    </row>
    <row r="7" spans="1:15">
      <c r="A7" s="114"/>
      <c r="B7" s="73" t="s">
        <v>226</v>
      </c>
      <c r="C7" s="74">
        <v>150</v>
      </c>
      <c r="D7" s="74">
        <v>45</v>
      </c>
      <c r="E7" s="74"/>
      <c r="F7" s="74">
        <v>225.83</v>
      </c>
      <c r="G7" s="74">
        <v>14.68</v>
      </c>
      <c r="H7" s="74">
        <v>75</v>
      </c>
      <c r="I7" s="75">
        <v>695982</v>
      </c>
      <c r="J7" s="75">
        <v>48691</v>
      </c>
      <c r="K7" s="75">
        <v>9280</v>
      </c>
      <c r="L7" s="75">
        <v>1606</v>
      </c>
      <c r="M7" s="74">
        <v>55.51</v>
      </c>
      <c r="N7" s="74">
        <v>14.68</v>
      </c>
      <c r="O7" s="67" t="s">
        <v>224</v>
      </c>
    </row>
    <row r="8" spans="1:15">
      <c r="A8" s="114"/>
      <c r="B8" s="70" t="s">
        <v>227</v>
      </c>
      <c r="C8" s="71">
        <v>174</v>
      </c>
      <c r="D8" s="71">
        <v>45</v>
      </c>
      <c r="E8" s="71"/>
      <c r="F8" s="71">
        <v>245.03</v>
      </c>
      <c r="G8" s="71">
        <v>13.56</v>
      </c>
      <c r="H8" s="71">
        <v>87</v>
      </c>
      <c r="I8" s="72">
        <v>984977</v>
      </c>
      <c r="J8" s="72">
        <v>52328</v>
      </c>
      <c r="K8" s="72">
        <v>11322</v>
      </c>
      <c r="L8" s="72">
        <v>1664</v>
      </c>
      <c r="M8" s="71">
        <v>63.4</v>
      </c>
      <c r="N8" s="71">
        <v>14.61</v>
      </c>
      <c r="O8" s="67" t="s">
        <v>224</v>
      </c>
    </row>
    <row r="9" spans="1:15">
      <c r="A9" s="115"/>
      <c r="B9" s="73" t="s">
        <v>228</v>
      </c>
      <c r="C9" s="74">
        <v>200</v>
      </c>
      <c r="D9" s="74">
        <v>45</v>
      </c>
      <c r="E9" s="74"/>
      <c r="F9" s="74">
        <v>265.83</v>
      </c>
      <c r="G9" s="74">
        <v>12.53</v>
      </c>
      <c r="H9" s="74">
        <v>100</v>
      </c>
      <c r="I9" s="75">
        <v>1371260</v>
      </c>
      <c r="J9" s="75">
        <v>55632</v>
      </c>
      <c r="K9" s="75">
        <v>13713</v>
      </c>
      <c r="L9" s="75">
        <v>1713</v>
      </c>
      <c r="M9" s="74">
        <v>71.819999999999993</v>
      </c>
      <c r="N9" s="74">
        <v>14.47</v>
      </c>
      <c r="O9" s="67" t="s">
        <v>224</v>
      </c>
    </row>
    <row r="10" spans="1:15">
      <c r="A10" s="113" t="s">
        <v>229</v>
      </c>
      <c r="B10" s="70" t="s">
        <v>230</v>
      </c>
      <c r="C10" s="71">
        <v>74.5</v>
      </c>
      <c r="D10" s="71">
        <v>45.5</v>
      </c>
      <c r="E10" s="71">
        <v>0.5</v>
      </c>
      <c r="F10" s="71">
        <v>257.61</v>
      </c>
      <c r="G10" s="71">
        <v>30.24</v>
      </c>
      <c r="H10" s="71">
        <v>37</v>
      </c>
      <c r="I10" s="72">
        <v>200922</v>
      </c>
      <c r="J10" s="72">
        <v>45552</v>
      </c>
      <c r="K10" s="72">
        <v>5394</v>
      </c>
      <c r="L10" s="72">
        <v>1494</v>
      </c>
      <c r="M10" s="71">
        <v>27.93</v>
      </c>
      <c r="N10" s="71">
        <v>13.3</v>
      </c>
      <c r="O10" s="67" t="s">
        <v>229</v>
      </c>
    </row>
    <row r="11" spans="1:15">
      <c r="A11" s="114"/>
      <c r="B11" s="73" t="s">
        <v>231</v>
      </c>
      <c r="C11" s="74">
        <v>90.5</v>
      </c>
      <c r="D11" s="74">
        <v>45.5</v>
      </c>
      <c r="E11" s="74">
        <v>0.5</v>
      </c>
      <c r="F11" s="74">
        <v>273.61</v>
      </c>
      <c r="G11" s="74">
        <v>31.08</v>
      </c>
      <c r="H11" s="74">
        <v>45.58</v>
      </c>
      <c r="I11" s="75">
        <v>310833</v>
      </c>
      <c r="J11" s="75">
        <v>48704</v>
      </c>
      <c r="K11" s="75">
        <v>6782</v>
      </c>
      <c r="L11" s="75">
        <v>1554</v>
      </c>
      <c r="M11" s="74">
        <v>33.71</v>
      </c>
      <c r="N11" s="74">
        <v>13.34</v>
      </c>
      <c r="O11" s="67" t="s">
        <v>229</v>
      </c>
    </row>
    <row r="12" spans="1:15">
      <c r="A12" s="114"/>
      <c r="B12" s="70" t="s">
        <v>232</v>
      </c>
      <c r="C12" s="71">
        <v>100.5</v>
      </c>
      <c r="D12" s="71">
        <v>45.5</v>
      </c>
      <c r="E12" s="71">
        <v>0.5</v>
      </c>
      <c r="F12" s="71">
        <v>283.61</v>
      </c>
      <c r="G12" s="71">
        <v>31.56</v>
      </c>
      <c r="H12" s="71">
        <v>50.56</v>
      </c>
      <c r="I12" s="72">
        <v>391180</v>
      </c>
      <c r="J12" s="72">
        <v>50494</v>
      </c>
      <c r="K12" s="72">
        <v>7698</v>
      </c>
      <c r="L12" s="72">
        <v>1587</v>
      </c>
      <c r="M12" s="71">
        <v>37.14</v>
      </c>
      <c r="N12" s="71">
        <v>13.34</v>
      </c>
      <c r="O12" s="67" t="s">
        <v>229</v>
      </c>
    </row>
    <row r="13" spans="1:15">
      <c r="A13" s="114"/>
      <c r="B13" s="73" t="s">
        <v>233</v>
      </c>
      <c r="C13" s="74">
        <v>120.5</v>
      </c>
      <c r="D13" s="74">
        <v>45.5</v>
      </c>
      <c r="E13" s="74">
        <v>0.5</v>
      </c>
      <c r="F13" s="74">
        <v>303.61</v>
      </c>
      <c r="G13" s="74">
        <v>32.43</v>
      </c>
      <c r="H13" s="74">
        <v>60.53</v>
      </c>
      <c r="I13" s="75">
        <v>585561</v>
      </c>
      <c r="J13" s="75">
        <v>53720</v>
      </c>
      <c r="K13" s="75">
        <v>9635</v>
      </c>
      <c r="L13" s="75">
        <v>1644</v>
      </c>
      <c r="M13" s="74">
        <v>43.92</v>
      </c>
      <c r="N13" s="74">
        <v>13.3</v>
      </c>
      <c r="O13" s="67" t="s">
        <v>229</v>
      </c>
    </row>
    <row r="14" spans="1:15">
      <c r="A14" s="114"/>
      <c r="B14" s="70" t="s">
        <v>234</v>
      </c>
      <c r="C14" s="71">
        <v>140.5</v>
      </c>
      <c r="D14" s="71">
        <v>45.5</v>
      </c>
      <c r="E14" s="71">
        <v>0.5</v>
      </c>
      <c r="F14" s="71">
        <v>323.61</v>
      </c>
      <c r="G14" s="71">
        <v>33.19</v>
      </c>
      <c r="H14" s="71">
        <v>69.94</v>
      </c>
      <c r="I14" s="72">
        <v>827986</v>
      </c>
      <c r="J14" s="72">
        <v>56547</v>
      </c>
      <c r="K14" s="72">
        <v>11777</v>
      </c>
      <c r="L14" s="72">
        <v>1691</v>
      </c>
      <c r="M14" s="71">
        <v>50.58</v>
      </c>
      <c r="N14" s="71">
        <v>13.22</v>
      </c>
      <c r="O14" s="67" t="s">
        <v>229</v>
      </c>
    </row>
    <row r="15" spans="1:15">
      <c r="A15" s="115"/>
      <c r="B15" s="73" t="s">
        <v>235</v>
      </c>
      <c r="C15" s="74">
        <v>150.5</v>
      </c>
      <c r="D15" s="74">
        <v>45.5</v>
      </c>
      <c r="E15" s="74">
        <v>0.5</v>
      </c>
      <c r="F15" s="74">
        <v>333.61</v>
      </c>
      <c r="G15" s="74">
        <v>33.53</v>
      </c>
      <c r="H15" s="74">
        <v>74.94</v>
      </c>
      <c r="I15" s="75">
        <v>968641</v>
      </c>
      <c r="J15" s="75">
        <v>57834</v>
      </c>
      <c r="K15" s="75">
        <v>12863</v>
      </c>
      <c r="L15" s="75">
        <v>1712</v>
      </c>
      <c r="M15" s="74">
        <v>53.88</v>
      </c>
      <c r="N15" s="74">
        <v>13.17</v>
      </c>
      <c r="O15" s="67" t="s">
        <v>229</v>
      </c>
    </row>
    <row r="16" spans="1:15">
      <c r="A16" s="113" t="s">
        <v>236</v>
      </c>
      <c r="B16" s="70" t="s">
        <v>50</v>
      </c>
      <c r="C16" s="71">
        <v>65</v>
      </c>
      <c r="D16" s="71">
        <v>35</v>
      </c>
      <c r="E16" s="71">
        <v>0.8</v>
      </c>
      <c r="F16" s="71">
        <v>139.84</v>
      </c>
      <c r="G16" s="71">
        <v>20.45</v>
      </c>
      <c r="H16" s="71">
        <v>32.46</v>
      </c>
      <c r="I16" s="72">
        <v>80289</v>
      </c>
      <c r="J16" s="72">
        <v>17796</v>
      </c>
      <c r="K16" s="72">
        <v>2468</v>
      </c>
      <c r="L16" s="72">
        <v>870</v>
      </c>
      <c r="M16" s="71">
        <v>23.96</v>
      </c>
      <c r="N16" s="71">
        <v>11.28</v>
      </c>
      <c r="O16" s="67" t="s">
        <v>236</v>
      </c>
    </row>
    <row r="17" spans="1:15">
      <c r="A17" s="114"/>
      <c r="B17" s="73" t="s">
        <v>51</v>
      </c>
      <c r="C17" s="74">
        <v>76</v>
      </c>
      <c r="D17" s="74">
        <v>35</v>
      </c>
      <c r="E17" s="74">
        <v>0.8</v>
      </c>
      <c r="F17" s="74">
        <v>148.63999999999999</v>
      </c>
      <c r="G17" s="74">
        <v>21.29</v>
      </c>
      <c r="H17" s="74">
        <v>37.17</v>
      </c>
      <c r="I17" s="75">
        <v>116736</v>
      </c>
      <c r="J17" s="75">
        <v>19451</v>
      </c>
      <c r="K17" s="75">
        <v>3006</v>
      </c>
      <c r="L17" s="75">
        <v>914</v>
      </c>
      <c r="M17" s="74">
        <v>28.02</v>
      </c>
      <c r="N17" s="74">
        <v>11.44</v>
      </c>
      <c r="O17" s="67" t="s">
        <v>236</v>
      </c>
    </row>
    <row r="18" spans="1:15">
      <c r="A18" s="114"/>
      <c r="B18" s="70" t="s">
        <v>52</v>
      </c>
      <c r="C18" s="71">
        <v>93</v>
      </c>
      <c r="D18" s="71">
        <v>35</v>
      </c>
      <c r="E18" s="71">
        <v>0.8</v>
      </c>
      <c r="F18" s="71">
        <v>162.24</v>
      </c>
      <c r="G18" s="71">
        <v>22.4</v>
      </c>
      <c r="H18" s="71">
        <v>44.61</v>
      </c>
      <c r="I18" s="72">
        <v>190620</v>
      </c>
      <c r="J18" s="72">
        <v>21650</v>
      </c>
      <c r="K18" s="72">
        <v>3939</v>
      </c>
      <c r="L18" s="72">
        <v>966</v>
      </c>
      <c r="M18" s="71">
        <v>34.28</v>
      </c>
      <c r="N18" s="71">
        <v>11.55</v>
      </c>
      <c r="O18" s="67" t="s">
        <v>236</v>
      </c>
    </row>
    <row r="19" spans="1:15">
      <c r="A19" s="114"/>
      <c r="B19" s="73" t="s">
        <v>53</v>
      </c>
      <c r="C19" s="74">
        <v>103</v>
      </c>
      <c r="D19" s="74">
        <v>35</v>
      </c>
      <c r="E19" s="74">
        <v>0.8</v>
      </c>
      <c r="F19" s="74">
        <v>170.24</v>
      </c>
      <c r="G19" s="74">
        <v>22.98</v>
      </c>
      <c r="H19" s="74">
        <v>49.06</v>
      </c>
      <c r="I19" s="75">
        <v>244765</v>
      </c>
      <c r="J19" s="75">
        <v>22795</v>
      </c>
      <c r="K19" s="75">
        <v>4538</v>
      </c>
      <c r="L19" s="75">
        <v>992</v>
      </c>
      <c r="M19" s="74">
        <v>37.92</v>
      </c>
      <c r="N19" s="74">
        <v>11.57</v>
      </c>
      <c r="O19" s="67" t="s">
        <v>236</v>
      </c>
    </row>
    <row r="20" spans="1:15">
      <c r="A20" s="114"/>
      <c r="B20" s="70" t="s">
        <v>237</v>
      </c>
      <c r="C20" s="71">
        <v>128</v>
      </c>
      <c r="D20" s="71">
        <v>35</v>
      </c>
      <c r="E20" s="71">
        <v>0.8</v>
      </c>
      <c r="F20" s="71">
        <v>190.24</v>
      </c>
      <c r="G20" s="71">
        <v>24.2</v>
      </c>
      <c r="H20" s="71">
        <v>60.4</v>
      </c>
      <c r="I20" s="72">
        <v>417851</v>
      </c>
      <c r="J20" s="72">
        <v>25213</v>
      </c>
      <c r="K20" s="72">
        <v>6181</v>
      </c>
      <c r="L20" s="72">
        <v>1042</v>
      </c>
      <c r="M20" s="71">
        <v>46.87</v>
      </c>
      <c r="N20" s="71">
        <v>11.51</v>
      </c>
      <c r="O20" s="67" t="s">
        <v>236</v>
      </c>
    </row>
    <row r="21" spans="1:15">
      <c r="A21" s="115"/>
      <c r="B21" s="73" t="s">
        <v>55</v>
      </c>
      <c r="C21" s="74">
        <v>153</v>
      </c>
      <c r="D21" s="74">
        <v>35</v>
      </c>
      <c r="E21" s="74">
        <v>0.8</v>
      </c>
      <c r="F21" s="74">
        <v>210.24</v>
      </c>
      <c r="G21" s="74">
        <v>25.19</v>
      </c>
      <c r="H21" s="74">
        <v>71.959999999999994</v>
      </c>
      <c r="I21" s="75">
        <v>649969</v>
      </c>
      <c r="J21" s="75">
        <v>27167</v>
      </c>
      <c r="K21" s="75">
        <v>8020</v>
      </c>
      <c r="L21" s="75">
        <v>1079</v>
      </c>
      <c r="M21" s="74">
        <v>55.6</v>
      </c>
      <c r="N21" s="74">
        <v>11.37</v>
      </c>
      <c r="O21" s="67" t="s">
        <v>236</v>
      </c>
    </row>
    <row r="22" spans="1:15">
      <c r="A22" s="113" t="s">
        <v>238</v>
      </c>
      <c r="B22" s="70" t="s">
        <v>50</v>
      </c>
      <c r="C22" s="71">
        <v>65</v>
      </c>
      <c r="D22" s="71">
        <v>35</v>
      </c>
      <c r="E22" s="71">
        <v>0.8</v>
      </c>
      <c r="F22" s="71">
        <v>139.84</v>
      </c>
      <c r="G22" s="71">
        <v>21.69</v>
      </c>
      <c r="H22" s="71">
        <v>29.98</v>
      </c>
      <c r="I22" s="72">
        <v>88053</v>
      </c>
      <c r="J22" s="72">
        <v>19526</v>
      </c>
      <c r="K22" s="72">
        <v>2514</v>
      </c>
      <c r="L22" s="72">
        <v>900</v>
      </c>
      <c r="M22" s="71">
        <v>25.09</v>
      </c>
      <c r="N22" s="71">
        <v>11.82</v>
      </c>
      <c r="O22" s="67" t="s">
        <v>238</v>
      </c>
    </row>
    <row r="23" spans="1:15">
      <c r="A23" s="114"/>
      <c r="B23" s="73" t="s">
        <v>51</v>
      </c>
      <c r="C23" s="74">
        <v>76</v>
      </c>
      <c r="D23" s="74">
        <v>35</v>
      </c>
      <c r="E23" s="74">
        <v>0.8</v>
      </c>
      <c r="F23" s="74">
        <v>148.63999999999999</v>
      </c>
      <c r="G23" s="74">
        <v>22.46</v>
      </c>
      <c r="H23" s="74">
        <v>34.83</v>
      </c>
      <c r="I23" s="75">
        <v>127819</v>
      </c>
      <c r="J23" s="75">
        <v>20898</v>
      </c>
      <c r="K23" s="75">
        <v>3105</v>
      </c>
      <c r="L23" s="75">
        <v>931</v>
      </c>
      <c r="M23" s="74">
        <v>29.32</v>
      </c>
      <c r="N23" s="74">
        <v>11.86</v>
      </c>
      <c r="O23" s="67" t="s">
        <v>238</v>
      </c>
    </row>
    <row r="24" spans="1:15">
      <c r="A24" s="114"/>
      <c r="B24" s="70" t="s">
        <v>52</v>
      </c>
      <c r="C24" s="71">
        <v>93</v>
      </c>
      <c r="D24" s="71">
        <v>35</v>
      </c>
      <c r="E24" s="71">
        <v>0.8</v>
      </c>
      <c r="F24" s="71">
        <v>162.24</v>
      </c>
      <c r="G24" s="71">
        <v>23.48</v>
      </c>
      <c r="H24" s="71">
        <v>42.46</v>
      </c>
      <c r="I24" s="72">
        <v>206944</v>
      </c>
      <c r="J24" s="72">
        <v>22735</v>
      </c>
      <c r="K24" s="72">
        <v>4095</v>
      </c>
      <c r="L24" s="72">
        <v>968</v>
      </c>
      <c r="M24" s="71">
        <v>35.71</v>
      </c>
      <c r="N24" s="71">
        <v>11.84</v>
      </c>
      <c r="O24" s="67" t="s">
        <v>238</v>
      </c>
    </row>
    <row r="25" spans="1:15">
      <c r="A25" s="114"/>
      <c r="B25" s="73" t="s">
        <v>53</v>
      </c>
      <c r="C25" s="74">
        <v>103</v>
      </c>
      <c r="D25" s="74">
        <v>35</v>
      </c>
      <c r="E25" s="74">
        <v>0.8</v>
      </c>
      <c r="F25" s="74">
        <v>170.24</v>
      </c>
      <c r="G25" s="74">
        <v>24</v>
      </c>
      <c r="H25" s="74">
        <v>47.02</v>
      </c>
      <c r="I25" s="75">
        <v>264214</v>
      </c>
      <c r="J25" s="75">
        <v>23678</v>
      </c>
      <c r="K25" s="75">
        <v>4720</v>
      </c>
      <c r="L25" s="75">
        <v>987</v>
      </c>
      <c r="M25" s="74">
        <v>39.4</v>
      </c>
      <c r="N25" s="74">
        <v>11.79</v>
      </c>
      <c r="O25" s="67" t="s">
        <v>238</v>
      </c>
    </row>
    <row r="26" spans="1:15">
      <c r="A26" s="114"/>
      <c r="B26" s="70" t="s">
        <v>237</v>
      </c>
      <c r="C26" s="71">
        <v>128</v>
      </c>
      <c r="D26" s="71">
        <v>35</v>
      </c>
      <c r="E26" s="71">
        <v>0.8</v>
      </c>
      <c r="F26" s="71">
        <v>190.24</v>
      </c>
      <c r="G26" s="71">
        <v>25.11</v>
      </c>
      <c r="H26" s="71">
        <v>58.57</v>
      </c>
      <c r="I26" s="72">
        <v>445259</v>
      </c>
      <c r="J26" s="72">
        <v>25704</v>
      </c>
      <c r="K26" s="72">
        <v>6413</v>
      </c>
      <c r="L26" s="72">
        <v>1023</v>
      </c>
      <c r="M26" s="71">
        <v>48.38</v>
      </c>
      <c r="N26" s="71">
        <v>11.62</v>
      </c>
      <c r="O26" s="67" t="s">
        <v>238</v>
      </c>
    </row>
    <row r="27" spans="1:15">
      <c r="A27" s="115"/>
      <c r="B27" s="73" t="s">
        <v>55</v>
      </c>
      <c r="C27" s="74">
        <v>153</v>
      </c>
      <c r="D27" s="74">
        <v>35</v>
      </c>
      <c r="E27" s="74">
        <v>0.8</v>
      </c>
      <c r="F27" s="74">
        <v>210.24</v>
      </c>
      <c r="G27" s="74">
        <v>26.02</v>
      </c>
      <c r="H27" s="74">
        <v>70.3</v>
      </c>
      <c r="I27" s="75">
        <v>685468</v>
      </c>
      <c r="J27" s="75">
        <v>27325</v>
      </c>
      <c r="K27" s="75">
        <v>8289</v>
      </c>
      <c r="L27" s="75">
        <v>1050</v>
      </c>
      <c r="M27" s="74">
        <v>57.1</v>
      </c>
      <c r="N27" s="74">
        <v>11.4</v>
      </c>
      <c r="O27" s="67" t="s">
        <v>238</v>
      </c>
    </row>
    <row r="28" spans="1:15">
      <c r="A28" s="113" t="s">
        <v>239</v>
      </c>
      <c r="B28" s="70" t="s">
        <v>240</v>
      </c>
      <c r="C28" s="71">
        <v>75</v>
      </c>
      <c r="D28" s="71">
        <v>40</v>
      </c>
      <c r="E28" s="71">
        <v>0.6</v>
      </c>
      <c r="F28" s="71">
        <v>119.52</v>
      </c>
      <c r="G28" s="71">
        <v>21.45</v>
      </c>
      <c r="H28" s="71">
        <v>37.5</v>
      </c>
      <c r="I28" s="72">
        <v>123019</v>
      </c>
      <c r="J28" s="72">
        <v>10605</v>
      </c>
      <c r="K28" s="72">
        <v>3281</v>
      </c>
      <c r="L28" s="72">
        <v>494</v>
      </c>
      <c r="M28" s="71">
        <v>32.08</v>
      </c>
      <c r="N28" s="71">
        <v>9.42</v>
      </c>
      <c r="O28" s="67" t="s">
        <v>239</v>
      </c>
    </row>
    <row r="29" spans="1:15">
      <c r="A29" s="114"/>
      <c r="B29" s="73" t="s">
        <v>241</v>
      </c>
      <c r="C29" s="74">
        <v>102</v>
      </c>
      <c r="D29" s="74">
        <v>40</v>
      </c>
      <c r="E29" s="74">
        <v>0.6</v>
      </c>
      <c r="F29" s="74">
        <v>135.72</v>
      </c>
      <c r="G29" s="74">
        <v>21.28</v>
      </c>
      <c r="H29" s="74">
        <v>51</v>
      </c>
      <c r="I29" s="75">
        <v>242970</v>
      </c>
      <c r="J29" s="75">
        <v>10621</v>
      </c>
      <c r="K29" s="75">
        <v>4764</v>
      </c>
      <c r="L29" s="75">
        <v>499</v>
      </c>
      <c r="M29" s="74">
        <v>42.31</v>
      </c>
      <c r="N29" s="74">
        <v>8.85</v>
      </c>
      <c r="O29" s="67" t="s">
        <v>239</v>
      </c>
    </row>
    <row r="30" spans="1:15">
      <c r="A30" s="114"/>
      <c r="B30" s="70" t="s">
        <v>242</v>
      </c>
      <c r="C30" s="71">
        <v>75</v>
      </c>
      <c r="D30" s="71">
        <v>40</v>
      </c>
      <c r="E30" s="71">
        <v>0.8</v>
      </c>
      <c r="F30" s="71">
        <v>158.88</v>
      </c>
      <c r="G30" s="71">
        <v>21.45</v>
      </c>
      <c r="H30" s="71">
        <v>37.5</v>
      </c>
      <c r="I30" s="72">
        <v>162113</v>
      </c>
      <c r="J30" s="72">
        <v>14138</v>
      </c>
      <c r="K30" s="72">
        <v>4323</v>
      </c>
      <c r="L30" s="72">
        <v>659</v>
      </c>
      <c r="M30" s="71">
        <v>31.94</v>
      </c>
      <c r="N30" s="71">
        <v>9.43</v>
      </c>
      <c r="O30" s="67" t="s">
        <v>239</v>
      </c>
    </row>
    <row r="31" spans="1:15">
      <c r="A31" s="114"/>
      <c r="B31" s="73" t="s">
        <v>243</v>
      </c>
      <c r="C31" s="74">
        <v>92</v>
      </c>
      <c r="D31" s="74">
        <v>40</v>
      </c>
      <c r="E31" s="74">
        <v>0.8</v>
      </c>
      <c r="F31" s="74">
        <v>172.48</v>
      </c>
      <c r="G31" s="74">
        <v>21.34</v>
      </c>
      <c r="H31" s="74">
        <v>46</v>
      </c>
      <c r="I31" s="75">
        <v>254892</v>
      </c>
      <c r="J31" s="75">
        <v>14071</v>
      </c>
      <c r="K31" s="75">
        <v>5541</v>
      </c>
      <c r="L31" s="75">
        <v>659</v>
      </c>
      <c r="M31" s="74">
        <v>38.44</v>
      </c>
      <c r="N31" s="74">
        <v>9.0299999999999994</v>
      </c>
      <c r="O31" s="67" t="s">
        <v>239</v>
      </c>
    </row>
    <row r="32" spans="1:15">
      <c r="A32" s="114"/>
      <c r="B32" s="70" t="s">
        <v>244</v>
      </c>
      <c r="C32" s="71">
        <v>102</v>
      </c>
      <c r="D32" s="71">
        <v>40</v>
      </c>
      <c r="E32" s="71">
        <v>0.8</v>
      </c>
      <c r="F32" s="71">
        <v>180.48</v>
      </c>
      <c r="G32" s="71">
        <v>21.28</v>
      </c>
      <c r="H32" s="71">
        <v>51</v>
      </c>
      <c r="I32" s="72">
        <v>321011</v>
      </c>
      <c r="J32" s="72">
        <v>14135</v>
      </c>
      <c r="K32" s="72">
        <v>6294</v>
      </c>
      <c r="L32" s="72">
        <v>664</v>
      </c>
      <c r="M32" s="71">
        <v>42.17</v>
      </c>
      <c r="N32" s="71">
        <v>8.85</v>
      </c>
      <c r="O32" s="67" t="s">
        <v>239</v>
      </c>
    </row>
    <row r="33" spans="1:15">
      <c r="A33" s="114"/>
      <c r="B33" s="73" t="s">
        <v>245</v>
      </c>
      <c r="C33" s="74">
        <v>127</v>
      </c>
      <c r="D33" s="74">
        <v>40</v>
      </c>
      <c r="E33" s="74">
        <v>0.8</v>
      </c>
      <c r="F33" s="74">
        <v>200.48</v>
      </c>
      <c r="G33" s="74">
        <v>21.15</v>
      </c>
      <c r="H33" s="74">
        <v>63.5</v>
      </c>
      <c r="I33" s="75">
        <v>526639</v>
      </c>
      <c r="J33" s="75">
        <v>14190</v>
      </c>
      <c r="K33" s="75">
        <v>8294</v>
      </c>
      <c r="L33" s="75">
        <v>671</v>
      </c>
      <c r="M33" s="74">
        <v>51.25</v>
      </c>
      <c r="N33" s="74">
        <v>8.41</v>
      </c>
      <c r="O33" s="67" t="s">
        <v>239</v>
      </c>
    </row>
    <row r="34" spans="1:15">
      <c r="A34" s="115"/>
      <c r="B34" s="70" t="s">
        <v>246</v>
      </c>
      <c r="C34" s="71">
        <v>152</v>
      </c>
      <c r="D34" s="71">
        <v>40</v>
      </c>
      <c r="E34" s="71">
        <v>0.8</v>
      </c>
      <c r="F34" s="71">
        <v>220.48</v>
      </c>
      <c r="G34" s="71">
        <v>21.05</v>
      </c>
      <c r="H34" s="71">
        <v>76</v>
      </c>
      <c r="I34" s="72">
        <v>794911</v>
      </c>
      <c r="J34" s="72">
        <v>14216</v>
      </c>
      <c r="K34" s="72">
        <v>10459</v>
      </c>
      <c r="L34" s="72">
        <v>675</v>
      </c>
      <c r="M34" s="71">
        <v>60.04</v>
      </c>
      <c r="N34" s="71">
        <v>8.0299999999999994</v>
      </c>
      <c r="O34" s="67" t="s">
        <v>239</v>
      </c>
    </row>
    <row r="35" spans="1:15">
      <c r="A35" s="113" t="s">
        <v>247</v>
      </c>
      <c r="B35" s="70" t="s">
        <v>248</v>
      </c>
      <c r="C35" s="71">
        <v>74</v>
      </c>
      <c r="D35" s="71">
        <v>40</v>
      </c>
      <c r="E35" s="71"/>
      <c r="F35" s="71">
        <v>167.62</v>
      </c>
      <c r="G35" s="71">
        <v>20</v>
      </c>
      <c r="H35" s="71">
        <v>37</v>
      </c>
      <c r="I35" s="72">
        <v>115476</v>
      </c>
      <c r="J35" s="72">
        <v>41688</v>
      </c>
      <c r="K35" s="72">
        <v>3121</v>
      </c>
      <c r="L35" s="72">
        <v>2084</v>
      </c>
      <c r="M35" s="71">
        <v>26.25</v>
      </c>
      <c r="N35" s="71">
        <v>15.77</v>
      </c>
      <c r="O35" s="67" t="s">
        <v>247</v>
      </c>
    </row>
    <row r="36" spans="1:15">
      <c r="A36" s="114"/>
      <c r="B36" s="73" t="s">
        <v>249</v>
      </c>
      <c r="C36" s="74">
        <v>90</v>
      </c>
      <c r="D36" s="74">
        <v>40</v>
      </c>
      <c r="E36" s="74"/>
      <c r="F36" s="74">
        <v>167.62</v>
      </c>
      <c r="G36" s="74">
        <v>20</v>
      </c>
      <c r="H36" s="74">
        <v>45</v>
      </c>
      <c r="I36" s="75">
        <v>189901</v>
      </c>
      <c r="J36" s="75">
        <v>41643</v>
      </c>
      <c r="K36" s="75">
        <v>4220</v>
      </c>
      <c r="L36" s="75">
        <v>2082</v>
      </c>
      <c r="M36" s="74">
        <v>33.659999999999997</v>
      </c>
      <c r="N36" s="74">
        <v>15.76</v>
      </c>
      <c r="O36" s="67" t="s">
        <v>247</v>
      </c>
    </row>
    <row r="37" spans="1:15">
      <c r="A37" s="114"/>
      <c r="B37" s="70" t="s">
        <v>250</v>
      </c>
      <c r="C37" s="71">
        <v>100</v>
      </c>
      <c r="D37" s="71">
        <v>40</v>
      </c>
      <c r="E37" s="71"/>
      <c r="F37" s="71">
        <v>167.62</v>
      </c>
      <c r="G37" s="71">
        <v>20</v>
      </c>
      <c r="H37" s="71">
        <v>50</v>
      </c>
      <c r="I37" s="72">
        <v>247351</v>
      </c>
      <c r="J37" s="72">
        <v>41756</v>
      </c>
      <c r="K37" s="72">
        <v>4947</v>
      </c>
      <c r="L37" s="72">
        <v>2088</v>
      </c>
      <c r="M37" s="71">
        <v>38.409999999999997</v>
      </c>
      <c r="N37" s="71">
        <v>15.78</v>
      </c>
      <c r="O37" s="67" t="s">
        <v>247</v>
      </c>
    </row>
    <row r="38" spans="1:15">
      <c r="A38" s="114"/>
      <c r="B38" s="73" t="s">
        <v>251</v>
      </c>
      <c r="C38" s="74">
        <v>125</v>
      </c>
      <c r="D38" s="74">
        <v>40</v>
      </c>
      <c r="E38" s="74"/>
      <c r="F38" s="74">
        <v>167.62</v>
      </c>
      <c r="G38" s="74">
        <v>20</v>
      </c>
      <c r="H38" s="74">
        <v>62.5</v>
      </c>
      <c r="I38" s="75">
        <v>427551</v>
      </c>
      <c r="J38" s="75">
        <v>41711</v>
      </c>
      <c r="K38" s="75">
        <v>6841</v>
      </c>
      <c r="L38" s="75">
        <v>2086</v>
      </c>
      <c r="M38" s="74">
        <v>50.5</v>
      </c>
      <c r="N38" s="74">
        <v>15.77</v>
      </c>
      <c r="O38" s="67" t="s">
        <v>247</v>
      </c>
    </row>
    <row r="39" spans="1:15">
      <c r="A39" s="114"/>
      <c r="B39" s="70" t="s">
        <v>252</v>
      </c>
      <c r="C39" s="71">
        <v>141</v>
      </c>
      <c r="D39" s="71">
        <v>40</v>
      </c>
      <c r="E39" s="71"/>
      <c r="F39" s="71">
        <v>167.62</v>
      </c>
      <c r="G39" s="71">
        <v>20</v>
      </c>
      <c r="H39" s="71">
        <v>70.5</v>
      </c>
      <c r="I39" s="72">
        <v>570407</v>
      </c>
      <c r="J39" s="72">
        <v>41824</v>
      </c>
      <c r="K39" s="72">
        <v>8091</v>
      </c>
      <c r="L39" s="72">
        <v>2091</v>
      </c>
      <c r="M39" s="71">
        <v>58.34</v>
      </c>
      <c r="N39" s="71">
        <v>15.8</v>
      </c>
      <c r="O39" s="67" t="s">
        <v>247</v>
      </c>
    </row>
    <row r="40" spans="1:15">
      <c r="A40" s="115"/>
      <c r="B40" s="73" t="s">
        <v>253</v>
      </c>
      <c r="C40" s="74">
        <v>151</v>
      </c>
      <c r="D40" s="74">
        <v>40</v>
      </c>
      <c r="E40" s="74"/>
      <c r="F40" s="74">
        <v>167.62</v>
      </c>
      <c r="G40" s="74">
        <v>20</v>
      </c>
      <c r="H40" s="74">
        <v>75.5</v>
      </c>
      <c r="I40" s="75">
        <v>670543</v>
      </c>
      <c r="J40" s="75">
        <v>41733</v>
      </c>
      <c r="K40" s="75">
        <v>8881</v>
      </c>
      <c r="L40" s="75">
        <v>2087</v>
      </c>
      <c r="M40" s="74">
        <v>63.25</v>
      </c>
      <c r="N40" s="74">
        <v>15.78</v>
      </c>
      <c r="O40" s="67" t="s">
        <v>247</v>
      </c>
    </row>
    <row r="41" spans="1:15">
      <c r="A41" s="69" t="s">
        <v>254</v>
      </c>
      <c r="B41" s="70" t="s">
        <v>255</v>
      </c>
      <c r="C41" s="71">
        <v>74</v>
      </c>
      <c r="D41" s="71">
        <v>40</v>
      </c>
      <c r="E41" s="71"/>
      <c r="F41" s="71">
        <v>138.30000000000001</v>
      </c>
      <c r="G41" s="71">
        <v>12.94</v>
      </c>
      <c r="H41" s="71">
        <v>39.42</v>
      </c>
      <c r="I41" s="72">
        <v>96715</v>
      </c>
      <c r="J41" s="72">
        <v>21609</v>
      </c>
      <c r="K41" s="72">
        <v>2454</v>
      </c>
      <c r="L41" s="72">
        <v>799</v>
      </c>
      <c r="M41" s="71">
        <v>26.44</v>
      </c>
      <c r="N41" s="71">
        <v>12.5</v>
      </c>
      <c r="O41" s="67" t="s">
        <v>254</v>
      </c>
    </row>
    <row r="42" spans="1:15">
      <c r="A42" s="113" t="s">
        <v>256</v>
      </c>
      <c r="B42" s="70" t="s">
        <v>257</v>
      </c>
      <c r="C42" s="71">
        <v>50</v>
      </c>
      <c r="D42" s="71">
        <v>45</v>
      </c>
      <c r="E42" s="71">
        <v>0.8</v>
      </c>
      <c r="F42" s="71">
        <v>132.16</v>
      </c>
      <c r="G42" s="71">
        <v>25.52</v>
      </c>
      <c r="H42" s="71">
        <v>25</v>
      </c>
      <c r="I42" s="72">
        <v>58490</v>
      </c>
      <c r="J42" s="72">
        <v>39649</v>
      </c>
      <c r="K42" s="72">
        <v>2340</v>
      </c>
      <c r="L42" s="72">
        <v>1554</v>
      </c>
      <c r="M42" s="71">
        <v>21.04</v>
      </c>
      <c r="N42" s="71">
        <v>17.32</v>
      </c>
      <c r="O42" s="67" t="s">
        <v>256</v>
      </c>
    </row>
    <row r="43" spans="1:15">
      <c r="A43" s="114"/>
      <c r="B43" s="73" t="s">
        <v>258</v>
      </c>
      <c r="C43" s="74">
        <v>50</v>
      </c>
      <c r="D43" s="74">
        <v>45</v>
      </c>
      <c r="E43" s="74">
        <v>1</v>
      </c>
      <c r="F43" s="74">
        <v>164</v>
      </c>
      <c r="G43" s="74">
        <v>25.57</v>
      </c>
      <c r="H43" s="74">
        <v>25</v>
      </c>
      <c r="I43" s="75">
        <v>72138</v>
      </c>
      <c r="J43" s="75">
        <v>48648</v>
      </c>
      <c r="K43" s="75">
        <v>2886</v>
      </c>
      <c r="L43" s="75">
        <v>1902</v>
      </c>
      <c r="M43" s="74">
        <v>20.97</v>
      </c>
      <c r="N43" s="74">
        <v>17.22</v>
      </c>
      <c r="O43" s="67" t="s">
        <v>256</v>
      </c>
    </row>
    <row r="44" spans="1:15">
      <c r="A44" s="114"/>
      <c r="B44" s="70" t="s">
        <v>259</v>
      </c>
      <c r="C44" s="71">
        <v>65</v>
      </c>
      <c r="D44" s="71">
        <v>45</v>
      </c>
      <c r="E44" s="71">
        <v>0.8</v>
      </c>
      <c r="F44" s="71">
        <v>144.16</v>
      </c>
      <c r="G44" s="71">
        <v>27.11</v>
      </c>
      <c r="H44" s="71">
        <v>32.5</v>
      </c>
      <c r="I44" s="72">
        <v>105625</v>
      </c>
      <c r="J44" s="72">
        <v>43655</v>
      </c>
      <c r="K44" s="72">
        <v>3250</v>
      </c>
      <c r="L44" s="72">
        <v>1611</v>
      </c>
      <c r="M44" s="71">
        <v>27.07</v>
      </c>
      <c r="N44" s="71">
        <v>17.399999999999999</v>
      </c>
      <c r="O44" s="67" t="s">
        <v>256</v>
      </c>
    </row>
    <row r="45" spans="1:15">
      <c r="A45" s="114"/>
      <c r="B45" s="73" t="s">
        <v>260</v>
      </c>
      <c r="C45" s="74">
        <v>65</v>
      </c>
      <c r="D45" s="74">
        <v>45</v>
      </c>
      <c r="E45" s="74">
        <v>1</v>
      </c>
      <c r="F45" s="74">
        <v>179</v>
      </c>
      <c r="G45" s="74">
        <v>27.16</v>
      </c>
      <c r="H45" s="74">
        <v>32.5</v>
      </c>
      <c r="I45" s="75">
        <v>130483</v>
      </c>
      <c r="J45" s="75">
        <v>53569</v>
      </c>
      <c r="K45" s="75">
        <v>4015</v>
      </c>
      <c r="L45" s="75">
        <v>1972</v>
      </c>
      <c r="M45" s="74">
        <v>27</v>
      </c>
      <c r="N45" s="74">
        <v>17.3</v>
      </c>
      <c r="O45" s="67" t="s">
        <v>256</v>
      </c>
    </row>
    <row r="46" spans="1:15">
      <c r="A46" s="114"/>
      <c r="B46" s="70" t="s">
        <v>261</v>
      </c>
      <c r="C46" s="71">
        <v>75</v>
      </c>
      <c r="D46" s="71">
        <v>45</v>
      </c>
      <c r="E46" s="71">
        <v>0.8</v>
      </c>
      <c r="F46" s="71">
        <v>152.16</v>
      </c>
      <c r="G46" s="71">
        <v>28.03</v>
      </c>
      <c r="H46" s="71">
        <v>37.5</v>
      </c>
      <c r="I46" s="72">
        <v>145971</v>
      </c>
      <c r="J46" s="72">
        <v>45969</v>
      </c>
      <c r="K46" s="72">
        <v>3893</v>
      </c>
      <c r="L46" s="72">
        <v>1640</v>
      </c>
      <c r="M46" s="71">
        <v>30.97</v>
      </c>
      <c r="N46" s="71">
        <v>17.38</v>
      </c>
      <c r="O46" s="67" t="s">
        <v>256</v>
      </c>
    </row>
    <row r="47" spans="1:15">
      <c r="A47" s="114"/>
      <c r="B47" s="73" t="s">
        <v>262</v>
      </c>
      <c r="C47" s="74">
        <v>75</v>
      </c>
      <c r="D47" s="74">
        <v>45</v>
      </c>
      <c r="E47" s="74">
        <v>1</v>
      </c>
      <c r="F47" s="74">
        <v>189</v>
      </c>
      <c r="G47" s="74">
        <v>28.08</v>
      </c>
      <c r="H47" s="74">
        <v>37.5</v>
      </c>
      <c r="I47" s="75">
        <v>180462</v>
      </c>
      <c r="J47" s="75">
        <v>56414</v>
      </c>
      <c r="K47" s="75">
        <v>4812</v>
      </c>
      <c r="L47" s="75">
        <v>2009</v>
      </c>
      <c r="M47" s="74">
        <v>30.9</v>
      </c>
      <c r="N47" s="74">
        <v>17.28</v>
      </c>
      <c r="O47" s="67" t="s">
        <v>256</v>
      </c>
    </row>
    <row r="48" spans="1:15">
      <c r="A48" s="114"/>
      <c r="B48" s="70" t="s">
        <v>263</v>
      </c>
      <c r="C48" s="71">
        <v>80</v>
      </c>
      <c r="D48" s="71">
        <v>45</v>
      </c>
      <c r="E48" s="71">
        <v>0.8</v>
      </c>
      <c r="F48" s="71">
        <v>156.16</v>
      </c>
      <c r="G48" s="71">
        <v>28.45</v>
      </c>
      <c r="H48" s="71">
        <v>40</v>
      </c>
      <c r="I48" s="72">
        <v>168971</v>
      </c>
      <c r="J48" s="72">
        <v>47033</v>
      </c>
      <c r="K48" s="72">
        <v>4224</v>
      </c>
      <c r="L48" s="72">
        <v>1653</v>
      </c>
      <c r="M48" s="71">
        <v>32.89</v>
      </c>
      <c r="N48" s="71">
        <v>17.350000000000001</v>
      </c>
      <c r="O48" s="67" t="s">
        <v>256</v>
      </c>
    </row>
    <row r="49" spans="1:15">
      <c r="A49" s="114"/>
      <c r="B49" s="73" t="s">
        <v>264</v>
      </c>
      <c r="C49" s="74">
        <v>80</v>
      </c>
      <c r="D49" s="74">
        <v>45</v>
      </c>
      <c r="E49" s="74">
        <v>1</v>
      </c>
      <c r="F49" s="74">
        <v>194</v>
      </c>
      <c r="G49" s="74">
        <v>28.5</v>
      </c>
      <c r="H49" s="74">
        <v>40</v>
      </c>
      <c r="I49" s="75">
        <v>208965</v>
      </c>
      <c r="J49" s="75">
        <v>57728</v>
      </c>
      <c r="K49" s="75">
        <v>5224</v>
      </c>
      <c r="L49" s="75">
        <v>2026</v>
      </c>
      <c r="M49" s="74">
        <v>32.82</v>
      </c>
      <c r="N49" s="74">
        <v>17.25</v>
      </c>
      <c r="O49" s="67" t="s">
        <v>256</v>
      </c>
    </row>
    <row r="50" spans="1:15">
      <c r="A50" s="114"/>
      <c r="B50" s="70" t="s">
        <v>265</v>
      </c>
      <c r="C50" s="71">
        <v>90</v>
      </c>
      <c r="D50" s="71">
        <v>45</v>
      </c>
      <c r="E50" s="71">
        <v>0.8</v>
      </c>
      <c r="F50" s="71">
        <v>164.16</v>
      </c>
      <c r="G50" s="71">
        <v>29.24</v>
      </c>
      <c r="H50" s="71">
        <v>45</v>
      </c>
      <c r="I50" s="72">
        <v>220887</v>
      </c>
      <c r="J50" s="72">
        <v>49029</v>
      </c>
      <c r="K50" s="72">
        <v>4909</v>
      </c>
      <c r="L50" s="72">
        <v>1677</v>
      </c>
      <c r="M50" s="71">
        <v>36.68</v>
      </c>
      <c r="N50" s="71">
        <v>17.28</v>
      </c>
      <c r="O50" s="67" t="s">
        <v>256</v>
      </c>
    </row>
    <row r="51" spans="1:15">
      <c r="A51" s="114"/>
      <c r="B51" s="73" t="s">
        <v>266</v>
      </c>
      <c r="C51" s="74">
        <v>90</v>
      </c>
      <c r="D51" s="74">
        <v>45</v>
      </c>
      <c r="E51" s="74">
        <v>1</v>
      </c>
      <c r="F51" s="74">
        <v>204</v>
      </c>
      <c r="G51" s="74">
        <v>29.28</v>
      </c>
      <c r="H51" s="74">
        <v>45</v>
      </c>
      <c r="I51" s="75">
        <v>273308</v>
      </c>
      <c r="J51" s="75">
        <v>60164</v>
      </c>
      <c r="K51" s="75">
        <v>6074</v>
      </c>
      <c r="L51" s="75">
        <v>2054</v>
      </c>
      <c r="M51" s="74">
        <v>36.6</v>
      </c>
      <c r="N51" s="74">
        <v>17.170000000000002</v>
      </c>
      <c r="O51" s="67" t="s">
        <v>256</v>
      </c>
    </row>
    <row r="52" spans="1:15">
      <c r="A52" s="114"/>
      <c r="B52" s="70" t="s">
        <v>267</v>
      </c>
      <c r="C52" s="71">
        <v>100</v>
      </c>
      <c r="D52" s="71">
        <v>45</v>
      </c>
      <c r="E52" s="71">
        <v>0.8</v>
      </c>
      <c r="F52" s="71">
        <v>172.16</v>
      </c>
      <c r="G52" s="71">
        <v>29.95</v>
      </c>
      <c r="H52" s="71">
        <v>50</v>
      </c>
      <c r="I52" s="72">
        <v>281011</v>
      </c>
      <c r="J52" s="72">
        <v>50840</v>
      </c>
      <c r="K52" s="72">
        <v>5620</v>
      </c>
      <c r="L52" s="72">
        <v>1697</v>
      </c>
      <c r="M52" s="71">
        <v>40.4</v>
      </c>
      <c r="N52" s="71">
        <v>17.18</v>
      </c>
      <c r="O52" s="67" t="s">
        <v>256</v>
      </c>
    </row>
    <row r="53" spans="1:15">
      <c r="A53" s="114"/>
      <c r="B53" s="73" t="s">
        <v>268</v>
      </c>
      <c r="C53" s="74">
        <v>100</v>
      </c>
      <c r="D53" s="74">
        <v>45</v>
      </c>
      <c r="E53" s="74">
        <v>1</v>
      </c>
      <c r="F53" s="74">
        <v>214</v>
      </c>
      <c r="G53" s="74">
        <v>30</v>
      </c>
      <c r="H53" s="74">
        <v>50</v>
      </c>
      <c r="I53" s="75">
        <v>347847</v>
      </c>
      <c r="J53" s="75">
        <v>62361</v>
      </c>
      <c r="K53" s="75">
        <v>6957</v>
      </c>
      <c r="L53" s="75">
        <v>2079</v>
      </c>
      <c r="M53" s="74">
        <v>40.32</v>
      </c>
      <c r="N53" s="74">
        <v>17.07</v>
      </c>
      <c r="O53" s="67" t="s">
        <v>256</v>
      </c>
    </row>
    <row r="54" spans="1:15">
      <c r="A54" s="114"/>
      <c r="B54" s="70" t="s">
        <v>269</v>
      </c>
      <c r="C54" s="71">
        <v>110</v>
      </c>
      <c r="D54" s="71">
        <v>45</v>
      </c>
      <c r="E54" s="71">
        <v>0.8</v>
      </c>
      <c r="F54" s="71">
        <v>180.16</v>
      </c>
      <c r="G54" s="71">
        <v>30.6</v>
      </c>
      <c r="H54" s="71">
        <v>55</v>
      </c>
      <c r="I54" s="72">
        <v>349734</v>
      </c>
      <c r="J54" s="72">
        <v>52468</v>
      </c>
      <c r="K54" s="72">
        <v>6359</v>
      </c>
      <c r="L54" s="72">
        <v>1715</v>
      </c>
      <c r="M54" s="71">
        <v>44.06</v>
      </c>
      <c r="N54" s="71">
        <v>17.07</v>
      </c>
      <c r="O54" s="67" t="s">
        <v>256</v>
      </c>
    </row>
    <row r="55" spans="1:15">
      <c r="A55" s="114"/>
      <c r="B55" s="73" t="s">
        <v>270</v>
      </c>
      <c r="C55" s="74">
        <v>110</v>
      </c>
      <c r="D55" s="74">
        <v>45</v>
      </c>
      <c r="E55" s="74">
        <v>1</v>
      </c>
      <c r="F55" s="74">
        <v>224</v>
      </c>
      <c r="G55" s="74">
        <v>30.64</v>
      </c>
      <c r="H55" s="74">
        <v>55</v>
      </c>
      <c r="I55" s="75">
        <v>433092</v>
      </c>
      <c r="J55" s="75">
        <v>64376</v>
      </c>
      <c r="K55" s="75">
        <v>7874</v>
      </c>
      <c r="L55" s="75">
        <v>2101</v>
      </c>
      <c r="M55" s="74">
        <v>43.97</v>
      </c>
      <c r="N55" s="74">
        <v>16.95</v>
      </c>
      <c r="O55" s="67" t="s">
        <v>256</v>
      </c>
    </row>
    <row r="56" spans="1:15">
      <c r="A56" s="114"/>
      <c r="B56" s="70" t="s">
        <v>271</v>
      </c>
      <c r="C56" s="71">
        <v>120</v>
      </c>
      <c r="D56" s="71">
        <v>45</v>
      </c>
      <c r="E56" s="71">
        <v>0.8</v>
      </c>
      <c r="F56" s="71">
        <v>188.16</v>
      </c>
      <c r="G56" s="71">
        <v>31.2</v>
      </c>
      <c r="H56" s="71">
        <v>60</v>
      </c>
      <c r="I56" s="72">
        <v>427469</v>
      </c>
      <c r="J56" s="72">
        <v>53969</v>
      </c>
      <c r="K56" s="72">
        <v>7124</v>
      </c>
      <c r="L56" s="72">
        <v>1730</v>
      </c>
      <c r="M56" s="71">
        <v>47.66</v>
      </c>
      <c r="N56" s="71">
        <v>16.940000000000001</v>
      </c>
      <c r="O56" s="67" t="s">
        <v>256</v>
      </c>
    </row>
    <row r="57" spans="1:15">
      <c r="A57" s="114"/>
      <c r="B57" s="73" t="s">
        <v>272</v>
      </c>
      <c r="C57" s="74">
        <v>120</v>
      </c>
      <c r="D57" s="74">
        <v>45</v>
      </c>
      <c r="E57" s="74">
        <v>1</v>
      </c>
      <c r="F57" s="74">
        <v>234</v>
      </c>
      <c r="G57" s="74">
        <v>31.24</v>
      </c>
      <c r="H57" s="74">
        <v>60</v>
      </c>
      <c r="I57" s="75">
        <v>529538</v>
      </c>
      <c r="J57" s="75">
        <v>66221</v>
      </c>
      <c r="K57" s="75">
        <v>8826</v>
      </c>
      <c r="L57" s="75">
        <v>2120</v>
      </c>
      <c r="M57" s="74">
        <v>47.57</v>
      </c>
      <c r="N57" s="74">
        <v>16.82</v>
      </c>
      <c r="O57" s="67" t="s">
        <v>256</v>
      </c>
    </row>
    <row r="58" spans="1:15">
      <c r="A58" s="114"/>
      <c r="B58" s="70" t="s">
        <v>273</v>
      </c>
      <c r="C58" s="71">
        <v>125</v>
      </c>
      <c r="D58" s="71">
        <v>45</v>
      </c>
      <c r="E58" s="71">
        <v>0.8</v>
      </c>
      <c r="F58" s="71">
        <v>192.16</v>
      </c>
      <c r="G58" s="71">
        <v>31.48</v>
      </c>
      <c r="H58" s="71">
        <v>62.5</v>
      </c>
      <c r="I58" s="72">
        <v>469839</v>
      </c>
      <c r="J58" s="72">
        <v>54669</v>
      </c>
      <c r="K58" s="72">
        <v>7517</v>
      </c>
      <c r="L58" s="72">
        <v>1737</v>
      </c>
      <c r="M58" s="71">
        <v>49.45</v>
      </c>
      <c r="N58" s="71">
        <v>16.87</v>
      </c>
      <c r="O58" s="67" t="s">
        <v>256</v>
      </c>
    </row>
    <row r="59" spans="1:15">
      <c r="A59" s="114"/>
      <c r="B59" s="73" t="s">
        <v>274</v>
      </c>
      <c r="C59" s="74">
        <v>125</v>
      </c>
      <c r="D59" s="74">
        <v>45</v>
      </c>
      <c r="E59" s="74">
        <v>1</v>
      </c>
      <c r="F59" s="74">
        <v>239</v>
      </c>
      <c r="G59" s="74">
        <v>31.51</v>
      </c>
      <c r="H59" s="74">
        <v>62.5</v>
      </c>
      <c r="I59" s="75">
        <v>582117</v>
      </c>
      <c r="J59" s="75">
        <v>67087</v>
      </c>
      <c r="K59" s="75">
        <v>9314</v>
      </c>
      <c r="L59" s="75">
        <v>2129</v>
      </c>
      <c r="M59" s="74">
        <v>49.35</v>
      </c>
      <c r="N59" s="74">
        <v>16.75</v>
      </c>
      <c r="O59" s="67" t="s">
        <v>256</v>
      </c>
    </row>
    <row r="60" spans="1:15">
      <c r="A60" s="114"/>
      <c r="B60" s="70" t="s">
        <v>275</v>
      </c>
      <c r="C60" s="71">
        <v>140</v>
      </c>
      <c r="D60" s="71">
        <v>45</v>
      </c>
      <c r="E60" s="71">
        <v>0.8</v>
      </c>
      <c r="F60" s="71">
        <v>204.16</v>
      </c>
      <c r="G60" s="71">
        <v>32.25</v>
      </c>
      <c r="H60" s="71">
        <v>70</v>
      </c>
      <c r="I60" s="72">
        <v>611567</v>
      </c>
      <c r="J60" s="72">
        <v>56626</v>
      </c>
      <c r="K60" s="72">
        <v>8737</v>
      </c>
      <c r="L60" s="72">
        <v>1756</v>
      </c>
      <c r="M60" s="71">
        <v>54.73</v>
      </c>
      <c r="N60" s="71">
        <v>16.649999999999999</v>
      </c>
      <c r="O60" s="67" t="s">
        <v>256</v>
      </c>
    </row>
    <row r="61" spans="1:15">
      <c r="A61" s="114"/>
      <c r="B61" s="73" t="s">
        <v>276</v>
      </c>
      <c r="C61" s="74">
        <v>140</v>
      </c>
      <c r="D61" s="74">
        <v>45</v>
      </c>
      <c r="E61" s="74">
        <v>1</v>
      </c>
      <c r="F61" s="74">
        <v>254</v>
      </c>
      <c r="G61" s="74">
        <v>32.28</v>
      </c>
      <c r="H61" s="74">
        <v>70</v>
      </c>
      <c r="I61" s="75">
        <v>758022</v>
      </c>
      <c r="J61" s="75">
        <v>69458</v>
      </c>
      <c r="K61" s="75">
        <v>10829</v>
      </c>
      <c r="L61" s="75">
        <v>2152</v>
      </c>
      <c r="M61" s="74">
        <v>54.63</v>
      </c>
      <c r="N61" s="74">
        <v>16.54</v>
      </c>
      <c r="O61" s="67" t="s">
        <v>256</v>
      </c>
    </row>
    <row r="62" spans="1:15">
      <c r="A62" s="114"/>
      <c r="B62" s="70" t="s">
        <v>277</v>
      </c>
      <c r="C62" s="71">
        <v>150</v>
      </c>
      <c r="D62" s="71">
        <v>45</v>
      </c>
      <c r="E62" s="71">
        <v>0.8</v>
      </c>
      <c r="F62" s="71">
        <v>212.16</v>
      </c>
      <c r="G62" s="71">
        <v>32.71</v>
      </c>
      <c r="H62" s="71">
        <v>75</v>
      </c>
      <c r="I62" s="72">
        <v>718724</v>
      </c>
      <c r="J62" s="72">
        <v>57794</v>
      </c>
      <c r="K62" s="72">
        <v>9583</v>
      </c>
      <c r="L62" s="72">
        <v>1767</v>
      </c>
      <c r="M62" s="71">
        <v>58.2</v>
      </c>
      <c r="N62" s="71">
        <v>16.5</v>
      </c>
      <c r="O62" s="67" t="s">
        <v>256</v>
      </c>
    </row>
    <row r="63" spans="1:15">
      <c r="A63" s="114"/>
      <c r="B63" s="73" t="s">
        <v>278</v>
      </c>
      <c r="C63" s="74">
        <v>150</v>
      </c>
      <c r="D63" s="74">
        <v>45</v>
      </c>
      <c r="E63" s="74">
        <v>1</v>
      </c>
      <c r="F63" s="74">
        <v>264</v>
      </c>
      <c r="G63" s="74">
        <v>32.74</v>
      </c>
      <c r="H63" s="74">
        <v>75</v>
      </c>
      <c r="I63" s="75">
        <v>891067</v>
      </c>
      <c r="J63" s="75">
        <v>70899</v>
      </c>
      <c r="K63" s="75">
        <v>11881</v>
      </c>
      <c r="L63" s="75">
        <v>2165</v>
      </c>
      <c r="M63" s="74">
        <v>58.1</v>
      </c>
      <c r="N63" s="74">
        <v>16.39</v>
      </c>
      <c r="O63" s="67" t="s">
        <v>256</v>
      </c>
    </row>
    <row r="64" spans="1:15">
      <c r="A64" s="114"/>
      <c r="B64" s="70" t="s">
        <v>279</v>
      </c>
      <c r="C64" s="71">
        <v>160</v>
      </c>
      <c r="D64" s="71">
        <v>45</v>
      </c>
      <c r="E64" s="71">
        <v>0.8</v>
      </c>
      <c r="F64" s="71">
        <v>220.16</v>
      </c>
      <c r="G64" s="71">
        <v>33.14</v>
      </c>
      <c r="H64" s="71">
        <v>80</v>
      </c>
      <c r="I64" s="72">
        <v>836493</v>
      </c>
      <c r="J64" s="72">
        <v>58887</v>
      </c>
      <c r="K64" s="72">
        <v>10456</v>
      </c>
      <c r="L64" s="72">
        <v>1777</v>
      </c>
      <c r="M64" s="71">
        <v>61.64</v>
      </c>
      <c r="N64" s="71">
        <v>16.350000000000001</v>
      </c>
      <c r="O64" s="67" t="s">
        <v>256</v>
      </c>
    </row>
    <row r="65" spans="1:15">
      <c r="A65" s="115"/>
      <c r="B65" s="73" t="s">
        <v>280</v>
      </c>
      <c r="C65" s="74">
        <v>160</v>
      </c>
      <c r="D65" s="74">
        <v>45</v>
      </c>
      <c r="E65" s="74">
        <v>1</v>
      </c>
      <c r="F65" s="74">
        <v>274</v>
      </c>
      <c r="G65" s="74">
        <v>33.17</v>
      </c>
      <c r="H65" s="74">
        <v>80</v>
      </c>
      <c r="I65" s="75">
        <v>1037315</v>
      </c>
      <c r="J65" s="75">
        <v>72246</v>
      </c>
      <c r="K65" s="75">
        <v>12966</v>
      </c>
      <c r="L65" s="75">
        <v>2178</v>
      </c>
      <c r="M65" s="74">
        <v>61.53</v>
      </c>
      <c r="N65" s="74">
        <v>16.239999999999998</v>
      </c>
      <c r="O65" s="67" t="s">
        <v>256</v>
      </c>
    </row>
    <row r="66" spans="1:15">
      <c r="A66" s="113" t="s">
        <v>281</v>
      </c>
      <c r="B66" s="70" t="s">
        <v>261</v>
      </c>
      <c r="C66" s="71">
        <v>75</v>
      </c>
      <c r="D66" s="71">
        <v>45</v>
      </c>
      <c r="E66" s="71">
        <v>0.8</v>
      </c>
      <c r="F66" s="71">
        <v>152.16</v>
      </c>
      <c r="G66" s="71">
        <v>28.03</v>
      </c>
      <c r="H66" s="71">
        <v>37.5</v>
      </c>
      <c r="I66" s="72">
        <v>145976</v>
      </c>
      <c r="J66" s="72">
        <v>45978</v>
      </c>
      <c r="K66" s="72">
        <v>3893</v>
      </c>
      <c r="L66" s="72">
        <v>1641</v>
      </c>
      <c r="M66" s="71">
        <v>30.97</v>
      </c>
      <c r="N66" s="71">
        <v>17.38</v>
      </c>
      <c r="O66" s="67" t="s">
        <v>281</v>
      </c>
    </row>
    <row r="67" spans="1:15">
      <c r="A67" s="114"/>
      <c r="B67" s="73" t="s">
        <v>267</v>
      </c>
      <c r="C67" s="74">
        <v>100</v>
      </c>
      <c r="D67" s="74">
        <v>45</v>
      </c>
      <c r="E67" s="74">
        <v>0.8</v>
      </c>
      <c r="F67" s="74">
        <v>172.16</v>
      </c>
      <c r="G67" s="74">
        <v>29.95</v>
      </c>
      <c r="H67" s="74">
        <v>50</v>
      </c>
      <c r="I67" s="75">
        <v>281013</v>
      </c>
      <c r="J67" s="75">
        <v>50841</v>
      </c>
      <c r="K67" s="75">
        <v>5620</v>
      </c>
      <c r="L67" s="75">
        <v>1698</v>
      </c>
      <c r="M67" s="74">
        <v>40.4</v>
      </c>
      <c r="N67" s="74">
        <v>17.18</v>
      </c>
      <c r="O67" s="67" t="s">
        <v>281</v>
      </c>
    </row>
    <row r="68" spans="1:15">
      <c r="A68" s="114"/>
      <c r="B68" s="70" t="s">
        <v>273</v>
      </c>
      <c r="C68" s="71">
        <v>125</v>
      </c>
      <c r="D68" s="71">
        <v>45</v>
      </c>
      <c r="E68" s="71">
        <v>0.8</v>
      </c>
      <c r="F68" s="71">
        <v>192.16</v>
      </c>
      <c r="G68" s="71">
        <v>31.48</v>
      </c>
      <c r="H68" s="71">
        <v>62.5</v>
      </c>
      <c r="I68" s="72">
        <v>469837</v>
      </c>
      <c r="J68" s="72">
        <v>54667</v>
      </c>
      <c r="K68" s="72">
        <v>7517</v>
      </c>
      <c r="L68" s="72">
        <v>1737</v>
      </c>
      <c r="M68" s="71">
        <v>49.45</v>
      </c>
      <c r="N68" s="71">
        <v>16.87</v>
      </c>
      <c r="O68" s="67" t="s">
        <v>281</v>
      </c>
    </row>
    <row r="69" spans="1:15">
      <c r="A69" s="115"/>
      <c r="B69" s="73" t="s">
        <v>277</v>
      </c>
      <c r="C69" s="74">
        <v>150</v>
      </c>
      <c r="D69" s="74">
        <v>45</v>
      </c>
      <c r="E69" s="74">
        <v>0.8</v>
      </c>
      <c r="F69" s="74">
        <v>212.16</v>
      </c>
      <c r="G69" s="74">
        <v>32.71</v>
      </c>
      <c r="H69" s="74">
        <v>75</v>
      </c>
      <c r="I69" s="75">
        <v>718722</v>
      </c>
      <c r="J69" s="75">
        <v>57789</v>
      </c>
      <c r="K69" s="75">
        <v>9583</v>
      </c>
      <c r="L69" s="75">
        <v>1767</v>
      </c>
      <c r="M69" s="74">
        <v>58.2</v>
      </c>
      <c r="N69" s="74">
        <v>16.5</v>
      </c>
      <c r="O69" s="67" t="s">
        <v>281</v>
      </c>
    </row>
    <row r="72" spans="1:15">
      <c r="A72" s="111" t="s">
        <v>282</v>
      </c>
      <c r="B72" s="112"/>
      <c r="C72" s="112"/>
      <c r="D72" s="112"/>
      <c r="E72" s="112"/>
      <c r="F72" s="112"/>
      <c r="G72" s="112"/>
      <c r="H72" s="112"/>
      <c r="I72" s="112"/>
      <c r="J72" s="112"/>
      <c r="K72" s="112"/>
      <c r="L72" s="112"/>
      <c r="M72" s="112"/>
      <c r="N72" s="112"/>
    </row>
    <row r="73" spans="1:15">
      <c r="A73" s="111" t="s">
        <v>283</v>
      </c>
      <c r="B73" s="112"/>
      <c r="C73" s="112"/>
      <c r="D73" s="112"/>
      <c r="E73" s="112"/>
      <c r="F73" s="112"/>
      <c r="G73" s="112"/>
      <c r="H73" s="112"/>
      <c r="I73" s="112"/>
      <c r="J73" s="112"/>
      <c r="K73" s="112"/>
      <c r="L73" s="112"/>
      <c r="M73" s="112"/>
      <c r="N73" s="112"/>
    </row>
    <row r="74" spans="1:15">
      <c r="A74" s="111" t="s">
        <v>284</v>
      </c>
      <c r="B74" s="112"/>
      <c r="C74" s="112"/>
      <c r="D74" s="112"/>
      <c r="E74" s="112"/>
      <c r="F74" s="112"/>
      <c r="G74" s="112"/>
      <c r="H74" s="112"/>
      <c r="I74" s="112"/>
      <c r="J74" s="112"/>
      <c r="K74" s="112"/>
      <c r="L74" s="112"/>
      <c r="M74" s="112"/>
      <c r="N74" s="112"/>
    </row>
    <row r="75" spans="1:15">
      <c r="A75" s="111" t="s">
        <v>285</v>
      </c>
      <c r="B75" s="112"/>
      <c r="C75" s="112"/>
      <c r="D75" s="112"/>
      <c r="E75" s="112"/>
      <c r="F75" s="112"/>
      <c r="G75" s="112"/>
      <c r="H75" s="112"/>
      <c r="I75" s="112"/>
      <c r="J75" s="112"/>
      <c r="K75" s="112"/>
      <c r="L75" s="112"/>
      <c r="M75" s="112"/>
      <c r="N75" s="112"/>
    </row>
    <row r="76" spans="1:15">
      <c r="A76" s="111" t="s">
        <v>286</v>
      </c>
      <c r="B76" s="112"/>
      <c r="C76" s="112"/>
      <c r="D76" s="112"/>
      <c r="E76" s="112"/>
      <c r="F76" s="112"/>
      <c r="G76" s="112"/>
      <c r="H76" s="112"/>
      <c r="I76" s="112"/>
      <c r="J76" s="112"/>
      <c r="K76" s="112"/>
      <c r="L76" s="112"/>
      <c r="M76" s="112"/>
      <c r="N76" s="112"/>
    </row>
    <row r="77" spans="1:15">
      <c r="A77" s="111" t="s">
        <v>287</v>
      </c>
      <c r="B77" s="112"/>
      <c r="C77" s="112"/>
      <c r="D77" s="112"/>
      <c r="E77" s="112"/>
      <c r="F77" s="112"/>
      <c r="G77" s="112"/>
      <c r="H77" s="112"/>
      <c r="I77" s="112"/>
      <c r="J77" s="112"/>
      <c r="K77" s="112"/>
      <c r="L77" s="112"/>
      <c r="M77" s="112"/>
      <c r="N77" s="112"/>
    </row>
    <row r="78" spans="1:15">
      <c r="A78" s="111"/>
      <c r="B78" s="112"/>
      <c r="C78" s="112"/>
      <c r="D78" s="112"/>
      <c r="E78" s="112"/>
      <c r="F78" s="112"/>
      <c r="G78" s="112"/>
      <c r="H78" s="112"/>
      <c r="I78" s="112"/>
      <c r="J78" s="112"/>
      <c r="K78" s="112"/>
      <c r="L78" s="112"/>
      <c r="M78" s="112"/>
      <c r="N78" s="112"/>
    </row>
    <row r="79" spans="1:15">
      <c r="A79" s="111" t="s">
        <v>288</v>
      </c>
      <c r="B79" s="112"/>
      <c r="C79" s="112"/>
      <c r="D79" s="112"/>
      <c r="E79" s="112"/>
      <c r="F79" s="112"/>
      <c r="G79" s="112"/>
      <c r="H79" s="112"/>
      <c r="I79" s="112"/>
      <c r="J79" s="112"/>
      <c r="K79" s="112"/>
      <c r="L79" s="112"/>
      <c r="M79" s="112"/>
      <c r="N79" s="112"/>
    </row>
    <row r="80" spans="1:15">
      <c r="A80" s="111" t="s">
        <v>289</v>
      </c>
      <c r="B80" s="112"/>
      <c r="C80" s="112"/>
      <c r="D80" s="112"/>
      <c r="E80" s="112"/>
      <c r="F80" s="112"/>
      <c r="G80" s="112"/>
      <c r="H80" s="112"/>
      <c r="I80" s="112"/>
      <c r="J80" s="112"/>
      <c r="K80" s="112"/>
      <c r="L80" s="112"/>
      <c r="M80" s="112"/>
      <c r="N80" s="112"/>
    </row>
    <row r="81" spans="1:14">
      <c r="A81" s="111" t="s">
        <v>290</v>
      </c>
      <c r="B81" s="112"/>
      <c r="C81" s="112"/>
      <c r="D81" s="112"/>
      <c r="E81" s="112"/>
      <c r="F81" s="112"/>
      <c r="G81" s="112"/>
      <c r="H81" s="112"/>
      <c r="I81" s="112"/>
      <c r="J81" s="112"/>
      <c r="K81" s="112"/>
      <c r="L81" s="112"/>
      <c r="M81" s="112"/>
      <c r="N81" s="112"/>
    </row>
    <row r="82" spans="1:14">
      <c r="A82" s="111" t="s">
        <v>291</v>
      </c>
      <c r="B82" s="112"/>
      <c r="C82" s="112"/>
      <c r="D82" s="112"/>
      <c r="E82" s="112"/>
      <c r="F82" s="112"/>
      <c r="G82" s="112"/>
      <c r="H82" s="112"/>
      <c r="I82" s="112"/>
      <c r="J82" s="112"/>
      <c r="K82" s="112"/>
      <c r="L82" s="112"/>
      <c r="M82" s="112"/>
      <c r="N82" s="112"/>
    </row>
    <row r="83" spans="1:14">
      <c r="A83" s="111"/>
      <c r="B83" s="112"/>
      <c r="C83" s="112"/>
      <c r="D83" s="112"/>
      <c r="E83" s="112"/>
      <c r="F83" s="112"/>
      <c r="G83" s="112"/>
      <c r="H83" s="112"/>
      <c r="I83" s="112"/>
      <c r="J83" s="112"/>
      <c r="K83" s="112"/>
      <c r="L83" s="112"/>
      <c r="M83" s="112"/>
      <c r="N83" s="112"/>
    </row>
    <row r="84" spans="1:14">
      <c r="A84" s="111" t="s">
        <v>292</v>
      </c>
      <c r="B84" s="112"/>
      <c r="C84" s="112"/>
      <c r="D84" s="112"/>
      <c r="E84" s="112"/>
      <c r="F84" s="112"/>
      <c r="G84" s="112"/>
      <c r="H84" s="112"/>
      <c r="I84" s="112"/>
      <c r="J84" s="112"/>
      <c r="K84" s="112"/>
      <c r="L84" s="112"/>
      <c r="M84" s="112"/>
      <c r="N84" s="112"/>
    </row>
    <row r="85" spans="1:14">
      <c r="A85" s="111" t="s">
        <v>293</v>
      </c>
      <c r="B85" s="112"/>
      <c r="C85" s="112"/>
      <c r="D85" s="112"/>
      <c r="E85" s="112"/>
      <c r="F85" s="112"/>
      <c r="G85" s="112"/>
      <c r="H85" s="112"/>
      <c r="I85" s="112"/>
      <c r="J85" s="112"/>
      <c r="K85" s="112"/>
      <c r="L85" s="112"/>
      <c r="M85" s="112"/>
      <c r="N85" s="112"/>
    </row>
    <row r="86" spans="1:14">
      <c r="A86" s="111" t="s">
        <v>294</v>
      </c>
      <c r="B86" s="112"/>
      <c r="C86" s="112"/>
      <c r="D86" s="112"/>
      <c r="E86" s="112"/>
      <c r="F86" s="112"/>
      <c r="G86" s="112"/>
      <c r="H86" s="112"/>
      <c r="I86" s="112"/>
      <c r="J86" s="112"/>
      <c r="K86" s="112"/>
      <c r="L86" s="112"/>
      <c r="M86" s="112"/>
      <c r="N86" s="112"/>
    </row>
    <row r="87" spans="1:14">
      <c r="A87" s="111" t="s">
        <v>295</v>
      </c>
      <c r="B87" s="112"/>
      <c r="C87" s="112"/>
      <c r="D87" s="112"/>
      <c r="E87" s="112"/>
      <c r="F87" s="112"/>
      <c r="G87" s="112"/>
      <c r="H87" s="112"/>
      <c r="I87" s="112"/>
      <c r="J87" s="112"/>
      <c r="K87" s="112"/>
      <c r="L87" s="112"/>
      <c r="M87" s="112"/>
      <c r="N87" s="112"/>
    </row>
  </sheetData>
  <mergeCells count="34">
    <mergeCell ref="A1:N1"/>
    <mergeCell ref="A2:N2"/>
    <mergeCell ref="A4:A5"/>
    <mergeCell ref="B4:B5"/>
    <mergeCell ref="C4:E4"/>
    <mergeCell ref="F4:F5"/>
    <mergeCell ref="G4:H4"/>
    <mergeCell ref="I4:J4"/>
    <mergeCell ref="K4:L4"/>
    <mergeCell ref="M4:N4"/>
    <mergeCell ref="A75:N75"/>
    <mergeCell ref="A6:A9"/>
    <mergeCell ref="A10:A15"/>
    <mergeCell ref="A16:A21"/>
    <mergeCell ref="A22:A27"/>
    <mergeCell ref="A28:A34"/>
    <mergeCell ref="A35:A40"/>
    <mergeCell ref="A42:A65"/>
    <mergeCell ref="A66:A69"/>
    <mergeCell ref="A72:N72"/>
    <mergeCell ref="A73:N73"/>
    <mergeCell ref="A74:N74"/>
    <mergeCell ref="A87:N87"/>
    <mergeCell ref="A76:N76"/>
    <mergeCell ref="A77:N77"/>
    <mergeCell ref="A78:N78"/>
    <mergeCell ref="A79:N79"/>
    <mergeCell ref="A80:N80"/>
    <mergeCell ref="A81:N81"/>
    <mergeCell ref="A82:N82"/>
    <mergeCell ref="A83:N83"/>
    <mergeCell ref="A84:N84"/>
    <mergeCell ref="A85:N85"/>
    <mergeCell ref="A86:N86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4</vt:i4>
      </vt:variant>
    </vt:vector>
  </HeadingPairs>
  <TitlesOfParts>
    <vt:vector size="10" baseType="lpstr">
      <vt:lpstr>VAR.</vt:lpstr>
      <vt:lpstr>Property_Gymsumboard</vt:lpstr>
      <vt:lpstr>SCREWBOLT </vt:lpstr>
      <vt:lpstr>Property_Stud</vt:lpstr>
      <vt:lpstr>Type</vt:lpstr>
      <vt:lpstr>단면성능</vt:lpstr>
      <vt:lpstr>Property_Stud!Print_Area</vt:lpstr>
      <vt:lpstr>'SCREWBOLT '!Print_Area</vt:lpstr>
      <vt:lpstr>Type!Print_Area</vt:lpstr>
      <vt:lpstr>StudList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지훈 정</dc:creator>
  <cp:lastModifiedBy>지훈 정</cp:lastModifiedBy>
  <dcterms:created xsi:type="dcterms:W3CDTF">2026-04-10T06:29:41Z</dcterms:created>
  <dcterms:modified xsi:type="dcterms:W3CDTF">2026-06-04T03:11:58Z</dcterms:modified>
</cp:coreProperties>
</file>