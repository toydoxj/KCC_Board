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문서\Python\KCC_board\refs\"/>
    </mc:Choice>
  </mc:AlternateContent>
  <xr:revisionPtr revIDLastSave="0" documentId="8_{E9A2A5D1-51F2-43AC-A917-0058D2708C7E}" xr6:coauthVersionLast="47" xr6:coauthVersionMax="47" xr10:uidLastSave="{00000000-0000-0000-0000-000000000000}"/>
  <bookViews>
    <workbookView xWindow="-120" yWindow="-120" windowWidth="29040" windowHeight="15720" xr2:uid="{4FD530D0-5CF3-472B-B478-2D412316655A}"/>
  </bookViews>
  <sheets>
    <sheet name="Sheet1" sheetId="1" r:id="rId1"/>
  </sheets>
  <definedNames>
    <definedName name="_xlnm._FilterDatabase" localSheetId="0" hidden="1">Sheet1!$A$4:$S$4</definedName>
    <definedName name="_xlnm.Print_Area" localSheetId="0">Sheet1!$A$1:$S$54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5" i="1" l="1"/>
  <c r="O34" i="1" l="1"/>
  <c r="R34" i="1" l="1"/>
  <c r="Q34" i="1"/>
  <c r="P34" i="1"/>
  <c r="N34" i="1"/>
  <c r="R33" i="1"/>
  <c r="Q33" i="1"/>
  <c r="P33" i="1"/>
  <c r="O33" i="1"/>
  <c r="N33" i="1"/>
  <c r="R29" i="1" l="1"/>
  <c r="R30" i="1" s="1"/>
  <c r="O29" i="1"/>
  <c r="O30" i="1" s="1"/>
  <c r="P29" i="1"/>
  <c r="P30" i="1" s="1"/>
  <c r="Q29" i="1"/>
  <c r="Q30" i="1" s="1"/>
  <c r="N29" i="1"/>
  <c r="N30" i="1" s="1"/>
  <c r="R25" i="1" l="1"/>
  <c r="P25" i="1"/>
  <c r="Q25" i="1"/>
  <c r="O25" i="1"/>
  <c r="R13" i="1" l="1"/>
  <c r="P13" i="1"/>
  <c r="Q13" i="1"/>
  <c r="O13" i="1"/>
  <c r="N13" i="1"/>
  <c r="O18" i="1" l="1"/>
  <c r="O37" i="1" s="1"/>
  <c r="P18" i="1"/>
  <c r="P37" i="1" s="1"/>
  <c r="Q18" i="1"/>
  <c r="Q37" i="1" s="1"/>
  <c r="R18" i="1"/>
  <c r="R37" i="1" s="1"/>
  <c r="N18" i="1"/>
  <c r="N37" i="1" s="1"/>
  <c r="O17" i="1"/>
  <c r="P17" i="1"/>
  <c r="Q17" i="1"/>
  <c r="R17" i="1"/>
  <c r="N17" i="1"/>
</calcChain>
</file>

<file path=xl/sharedStrings.xml><?xml version="1.0" encoding="utf-8"?>
<sst xmlns="http://schemas.openxmlformats.org/spreadsheetml/2006/main" count="412" uniqueCount="94">
  <si>
    <t>KCC경량벽체 내진성능 검토 진행상황</t>
    <phoneticPr fontId="2" type="noConversion"/>
  </si>
  <si>
    <t>순번</t>
    <phoneticPr fontId="2" type="noConversion"/>
  </si>
  <si>
    <t>도면명</t>
    <phoneticPr fontId="2" type="noConversion"/>
  </si>
  <si>
    <t>KDJ-12DB-F</t>
    <phoneticPr fontId="2" type="noConversion"/>
  </si>
  <si>
    <t>높이(KCC정리)</t>
    <phoneticPr fontId="2" type="noConversion"/>
  </si>
  <si>
    <t>높이(내진반영)</t>
    <phoneticPr fontId="2" type="noConversion"/>
  </si>
  <si>
    <t>ratio</t>
    <phoneticPr fontId="2" type="noConversion"/>
  </si>
  <si>
    <t>내력</t>
    <phoneticPr fontId="2" type="noConversion"/>
  </si>
  <si>
    <t>처짐</t>
    <phoneticPr fontId="2" type="noConversion"/>
  </si>
  <si>
    <t>Runner</t>
    <phoneticPr fontId="2" type="noConversion"/>
  </si>
  <si>
    <t>접합앵커간격</t>
    <phoneticPr fontId="2" type="noConversion"/>
  </si>
  <si>
    <t>KDJ-12DB-R-F</t>
    <phoneticPr fontId="2" type="noConversion"/>
  </si>
  <si>
    <t>KDJ-12DIG-R-F</t>
    <phoneticPr fontId="2" type="noConversion"/>
  </si>
  <si>
    <t>KDJ-12.5MPA-F</t>
    <phoneticPr fontId="2" type="noConversion"/>
  </si>
  <si>
    <t>KDJ-12SW-F</t>
    <phoneticPr fontId="2" type="noConversion"/>
  </si>
  <si>
    <t>KDJ-12THF-F</t>
    <phoneticPr fontId="2" type="noConversion"/>
  </si>
  <si>
    <t>KDJ-15DB-F</t>
    <phoneticPr fontId="2" type="noConversion"/>
  </si>
  <si>
    <t>KDJ-15DB-R-F</t>
    <phoneticPr fontId="2" type="noConversion"/>
  </si>
  <si>
    <t>KDJ-15DIG-R-F</t>
    <phoneticPr fontId="2" type="noConversion"/>
  </si>
  <si>
    <t>KDJ-15DSA-F</t>
    <phoneticPr fontId="2" type="noConversion"/>
  </si>
  <si>
    <t>KDJ-19DB-F</t>
    <phoneticPr fontId="2" type="noConversion"/>
  </si>
  <si>
    <t>KDJ-19DB-R-F</t>
    <phoneticPr fontId="2" type="noConversion"/>
  </si>
  <si>
    <t>KDJ-19DIG-F</t>
    <phoneticPr fontId="2" type="noConversion"/>
  </si>
  <si>
    <t>KDJ-19DIG-F1</t>
    <phoneticPr fontId="2" type="noConversion"/>
  </si>
  <si>
    <t>KDJ-19DSA-F1</t>
    <phoneticPr fontId="2" type="noConversion"/>
  </si>
  <si>
    <t>KDJ-19MPA-F1</t>
    <phoneticPr fontId="2" type="noConversion"/>
  </si>
  <si>
    <t>KDJ-19SQ-F</t>
    <phoneticPr fontId="2" type="noConversion"/>
  </si>
  <si>
    <t>KDJ-19THF-F</t>
    <phoneticPr fontId="2" type="noConversion"/>
  </si>
  <si>
    <t>KDJ-123SW-F</t>
    <phoneticPr fontId="2" type="noConversion"/>
  </si>
  <si>
    <t>KDJ-153SW-F</t>
    <phoneticPr fontId="2" type="noConversion"/>
  </si>
  <si>
    <t>KDJ-153SW-W</t>
    <phoneticPr fontId="2" type="noConversion"/>
  </si>
  <si>
    <t>KDJ-1519B-W</t>
    <phoneticPr fontId="2" type="noConversion"/>
  </si>
  <si>
    <t>KDJ-1519B-WF-F</t>
    <phoneticPr fontId="2" type="noConversion"/>
  </si>
  <si>
    <t>스터드</t>
    <phoneticPr fontId="2" type="noConversion"/>
  </si>
  <si>
    <t>크기</t>
    <phoneticPr fontId="2" type="noConversion"/>
  </si>
  <si>
    <t>간격</t>
    <phoneticPr fontId="2" type="noConversion"/>
  </si>
  <si>
    <t>50x45x0.8</t>
    <phoneticPr fontId="2" type="noConversion"/>
  </si>
  <si>
    <t>방수15</t>
    <phoneticPr fontId="2" type="noConversion"/>
  </si>
  <si>
    <t>KDJ-1519DSA-W</t>
    <phoneticPr fontId="2" type="noConversion"/>
  </si>
  <si>
    <t>C-Stud(이중)</t>
    <phoneticPr fontId="2" type="noConversion"/>
  </si>
  <si>
    <t>방화19</t>
    <phoneticPr fontId="2" type="noConversion"/>
  </si>
  <si>
    <t>KDJ-1519DSA-WF-F</t>
    <phoneticPr fontId="2" type="noConversion"/>
  </si>
  <si>
    <t>KDJ-1519DSA-WF-FW</t>
    <phoneticPr fontId="2" type="noConversion"/>
  </si>
  <si>
    <t>방화방수19</t>
    <phoneticPr fontId="2" type="noConversion"/>
  </si>
  <si>
    <t>KYP-12DIG-F</t>
    <phoneticPr fontId="2" type="noConversion"/>
  </si>
  <si>
    <t>방화12.5</t>
    <phoneticPr fontId="2" type="noConversion"/>
  </si>
  <si>
    <t>C-Stud</t>
    <phoneticPr fontId="2" type="noConversion"/>
  </si>
  <si>
    <t>KYP-12DSA-1-F</t>
    <phoneticPr fontId="2" type="noConversion"/>
  </si>
  <si>
    <t>C-Stud(이중,엇배치)</t>
    <phoneticPr fontId="2" type="noConversion"/>
  </si>
  <si>
    <t>KYP-19DBE-F</t>
    <phoneticPr fontId="2" type="noConversion"/>
  </si>
  <si>
    <t>KYP-19DSA(피난)-F</t>
    <phoneticPr fontId="2" type="noConversion"/>
  </si>
  <si>
    <t>일반구조체(T=150)</t>
    <phoneticPr fontId="2" type="noConversion"/>
  </si>
  <si>
    <t>일반19</t>
    <phoneticPr fontId="2" type="noConversion"/>
  </si>
  <si>
    <t>R-Stud</t>
    <phoneticPr fontId="2" type="noConversion"/>
  </si>
  <si>
    <t>MP-Stud</t>
    <phoneticPr fontId="2" type="noConversion"/>
  </si>
  <si>
    <t>CH-Stud</t>
    <phoneticPr fontId="2" type="noConversion"/>
  </si>
  <si>
    <t>75x35x0.8</t>
    <phoneticPr fontId="2" type="noConversion"/>
  </si>
  <si>
    <t>방화25</t>
    <phoneticPr fontId="2" type="noConversion"/>
  </si>
  <si>
    <t>T.silent-Stud</t>
    <phoneticPr fontId="2" type="noConversion"/>
  </si>
  <si>
    <t>방화15</t>
    <phoneticPr fontId="2" type="noConversion"/>
  </si>
  <si>
    <t>SQ-Stud</t>
    <phoneticPr fontId="2" type="noConversion"/>
  </si>
  <si>
    <t>일반15</t>
    <phoneticPr fontId="2" type="noConversion"/>
  </si>
  <si>
    <t>전면석고보드</t>
    <phoneticPr fontId="2" type="noConversion"/>
  </si>
  <si>
    <t>후면석고보드</t>
    <phoneticPr fontId="2" type="noConversion"/>
  </si>
  <si>
    <t>X</t>
    <phoneticPr fontId="2" type="noConversion"/>
  </si>
  <si>
    <t>102x40x0.8</t>
    <phoneticPr fontId="2" type="noConversion"/>
  </si>
  <si>
    <t>비고</t>
    <phoneticPr fontId="2" type="noConversion"/>
  </si>
  <si>
    <t>Runner 0.6t</t>
    <phoneticPr fontId="2" type="noConversion"/>
  </si>
  <si>
    <t>75x40x0.5</t>
    <phoneticPr fontId="2" type="noConversion"/>
  </si>
  <si>
    <t>74x40x0.4</t>
    <phoneticPr fontId="2" type="noConversion"/>
  </si>
  <si>
    <t>STUD 성능에 의해 높이 결정</t>
    <phoneticPr fontId="2" type="noConversion"/>
  </si>
  <si>
    <t>변경순번</t>
    <phoneticPr fontId="2" type="noConversion"/>
  </si>
  <si>
    <t>67x40x0.8</t>
    <phoneticPr fontId="2" type="noConversion"/>
  </si>
  <si>
    <t>신규</t>
    <phoneticPr fontId="2" type="noConversion"/>
  </si>
  <si>
    <t>75x45x0.8</t>
    <phoneticPr fontId="2" type="noConversion"/>
  </si>
  <si>
    <t>KDJ19DIG-R-F1</t>
    <phoneticPr fontId="2" type="noConversion"/>
  </si>
  <si>
    <t>125x45x0.8</t>
    <phoneticPr fontId="2" type="noConversion"/>
  </si>
  <si>
    <t>KDJ15THF-F</t>
    <phoneticPr fontId="2" type="noConversion"/>
  </si>
  <si>
    <t>KDJ-19MPA-F2</t>
    <phoneticPr fontId="2" type="noConversion"/>
  </si>
  <si>
    <t>124x40x0.4</t>
    <phoneticPr fontId="2" type="noConversion"/>
  </si>
  <si>
    <t>KDJ-12DB-HWF</t>
  </si>
  <si>
    <t>KDJ-123SW-HW</t>
  </si>
  <si>
    <t>KDJ-1215DB-HW</t>
  </si>
  <si>
    <t>KDJ-1215DB-HWF</t>
  </si>
  <si>
    <t>KDJ-1219MP-HW</t>
  </si>
  <si>
    <t>KDJ-1219MP-HWF</t>
  </si>
  <si>
    <t>KDJ-1215SW-HW</t>
  </si>
  <si>
    <t>KDJ-12DSA-HW</t>
  </si>
  <si>
    <t>KDJ-12DSA-HWF</t>
  </si>
  <si>
    <t>일반12.5</t>
    <phoneticPr fontId="2" type="noConversion"/>
  </si>
  <si>
    <t>KDJ-1215SW-HWF</t>
    <phoneticPr fontId="2" type="noConversion"/>
  </si>
  <si>
    <t>고강도전방수12.5</t>
    <phoneticPr fontId="2" type="noConversion"/>
  </si>
  <si>
    <t>Runner 에 의해 결정</t>
    <phoneticPr fontId="2" type="noConversion"/>
  </si>
  <si>
    <t xml:space="preserve">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</si>
</sst>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6" fontId="10" fillId="6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  <color rgb="FF0070C0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458D-19B2-472C-AE73-0362C7AE5B97}">
  <sheetPr codeName="Sheet1">
    <pageSetUpPr fitToPage="1"/>
  </sheetPr>
  <dimension ref="A2:S51"/>
  <sheetViews>
    <sheetView tabSelected="1" view="pageBreakPreview" zoomScale="85" zoomScaleNormal="70" zoomScaleSheetLayoutView="85" workbookViewId="0">
      <selection activeCell="E7" sqref="E7"/>
    </sheetView>
  </sheetViews>
  <sheetFormatPr defaultRowHeight="16.5" x14ac:dyDescent="0.3"/>
  <cols>
    <col min="4" max="4" width="20.75" bestFit="1" customWidth="1"/>
    <col min="5" max="6" width="16.75" bestFit="1" customWidth="1"/>
    <col min="7" max="7" width="8.75" bestFit="1" customWidth="1"/>
    <col min="8" max="8" width="19.25" bestFit="1" customWidth="1"/>
    <col min="9" max="9" width="10.125" bestFit="1" customWidth="1"/>
    <col min="10" max="10" width="5.5" bestFit="1" customWidth="1"/>
    <col min="11" max="11" width="8.75" bestFit="1" customWidth="1"/>
    <col min="12" max="12" width="16.75" bestFit="1" customWidth="1"/>
    <col min="13" max="13" width="14.625" style="1" bestFit="1" customWidth="1"/>
    <col min="14" max="14" width="14.625" bestFit="1" customWidth="1"/>
    <col min="15" max="16" width="6.25" bestFit="1" customWidth="1"/>
    <col min="17" max="17" width="8.125" bestFit="1" customWidth="1"/>
    <col min="18" max="18" width="13.25" bestFit="1" customWidth="1"/>
    <col min="19" max="19" width="26.375" bestFit="1" customWidth="1"/>
  </cols>
  <sheetData>
    <row r="2" spans="1:19" x14ac:dyDescent="0.3">
      <c r="B2" t="s">
        <v>0</v>
      </c>
    </row>
    <row r="3" spans="1:19" ht="17.25" thickBot="1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N3" s="1"/>
      <c r="O3" s="50" t="s">
        <v>6</v>
      </c>
      <c r="P3" s="51"/>
      <c r="Q3" s="52"/>
      <c r="R3" s="1"/>
      <c r="S3" s="1"/>
    </row>
    <row r="4" spans="1:19" x14ac:dyDescent="0.3">
      <c r="B4" s="7" t="s">
        <v>1</v>
      </c>
      <c r="C4" s="7" t="s">
        <v>71</v>
      </c>
      <c r="D4" s="7" t="s">
        <v>2</v>
      </c>
      <c r="E4" s="47" t="s">
        <v>62</v>
      </c>
      <c r="F4" s="47"/>
      <c r="G4" s="48"/>
      <c r="H4" s="10" t="s">
        <v>33</v>
      </c>
      <c r="I4" s="11" t="s">
        <v>34</v>
      </c>
      <c r="J4" s="12" t="s">
        <v>35</v>
      </c>
      <c r="K4" s="49" t="s">
        <v>63</v>
      </c>
      <c r="L4" s="47"/>
      <c r="M4" s="7" t="s">
        <v>4</v>
      </c>
      <c r="N4" s="8" t="s">
        <v>5</v>
      </c>
      <c r="O4" s="7" t="s">
        <v>7</v>
      </c>
      <c r="P4" s="7" t="s">
        <v>8</v>
      </c>
      <c r="Q4" s="7" t="s">
        <v>9</v>
      </c>
      <c r="R4" s="9" t="s">
        <v>10</v>
      </c>
      <c r="S4" s="9" t="s">
        <v>66</v>
      </c>
    </row>
    <row r="5" spans="1:19" x14ac:dyDescent="0.3">
      <c r="A5">
        <v>1</v>
      </c>
      <c r="B5" s="32">
        <v>1</v>
      </c>
      <c r="C5" s="32">
        <v>1</v>
      </c>
      <c r="D5" s="33" t="s">
        <v>3</v>
      </c>
      <c r="E5" s="32"/>
      <c r="F5" s="32" t="s">
        <v>45</v>
      </c>
      <c r="G5" s="34" t="s">
        <v>45</v>
      </c>
      <c r="H5" s="35" t="s">
        <v>46</v>
      </c>
      <c r="I5" s="36" t="s">
        <v>36</v>
      </c>
      <c r="J5" s="37">
        <v>450</v>
      </c>
      <c r="K5" s="38" t="s">
        <v>45</v>
      </c>
      <c r="L5" s="32" t="s">
        <v>45</v>
      </c>
      <c r="M5" s="39">
        <v>4689.5</v>
      </c>
      <c r="N5" s="40">
        <v>4680</v>
      </c>
      <c r="O5" s="41">
        <v>0.91900000000000004</v>
      </c>
      <c r="P5" s="45">
        <v>0.997</v>
      </c>
      <c r="Q5" s="41">
        <v>0.66200000000000003</v>
      </c>
      <c r="R5" s="42">
        <v>400</v>
      </c>
      <c r="S5" s="43"/>
    </row>
    <row r="6" spans="1:19" x14ac:dyDescent="0.3">
      <c r="A6">
        <v>2</v>
      </c>
      <c r="B6" s="2">
        <v>2</v>
      </c>
      <c r="C6" s="2"/>
      <c r="D6" s="2" t="s">
        <v>11</v>
      </c>
      <c r="E6" s="2"/>
      <c r="F6" s="2" t="s">
        <v>45</v>
      </c>
      <c r="G6" s="5" t="s">
        <v>45</v>
      </c>
      <c r="H6" s="15" t="s">
        <v>53</v>
      </c>
      <c r="I6" s="21" t="s">
        <v>36</v>
      </c>
      <c r="J6" s="13">
        <v>600</v>
      </c>
      <c r="K6" s="4" t="s">
        <v>45</v>
      </c>
      <c r="L6" s="2" t="s">
        <v>45</v>
      </c>
      <c r="M6" s="3">
        <v>3863.02</v>
      </c>
      <c r="N6" s="6">
        <v>3900</v>
      </c>
      <c r="O6" s="19">
        <v>0.82499999999999996</v>
      </c>
      <c r="P6" s="19">
        <v>0.72599999999999998</v>
      </c>
      <c r="Q6" s="19">
        <v>0.47799999999999998</v>
      </c>
      <c r="R6" s="18">
        <v>600</v>
      </c>
      <c r="S6" s="26"/>
    </row>
    <row r="7" spans="1:19" x14ac:dyDescent="0.3">
      <c r="B7" s="32">
        <v>3</v>
      </c>
      <c r="C7" s="32">
        <v>7</v>
      </c>
      <c r="D7" s="33" t="s">
        <v>12</v>
      </c>
      <c r="E7" s="32"/>
      <c r="F7" s="32" t="s">
        <v>45</v>
      </c>
      <c r="G7" s="34" t="s">
        <v>45</v>
      </c>
      <c r="H7" s="35" t="s">
        <v>53</v>
      </c>
      <c r="I7" s="36" t="s">
        <v>36</v>
      </c>
      <c r="J7" s="37">
        <v>600</v>
      </c>
      <c r="K7" s="38" t="s">
        <v>45</v>
      </c>
      <c r="L7" s="32" t="s">
        <v>45</v>
      </c>
      <c r="M7" s="39">
        <v>3863.02</v>
      </c>
      <c r="N7" s="40">
        <v>4260</v>
      </c>
      <c r="O7" s="45">
        <v>0.996</v>
      </c>
      <c r="P7" s="41">
        <v>0.91200000000000003</v>
      </c>
      <c r="Q7" s="41">
        <v>0.52200000000000002</v>
      </c>
      <c r="R7" s="42">
        <v>550</v>
      </c>
      <c r="S7" s="44"/>
    </row>
    <row r="8" spans="1:19" x14ac:dyDescent="0.3">
      <c r="A8">
        <v>4</v>
      </c>
      <c r="B8" s="2">
        <v>4</v>
      </c>
      <c r="C8" s="25">
        <v>20</v>
      </c>
      <c r="D8" s="28" t="s">
        <v>13</v>
      </c>
      <c r="E8" s="2"/>
      <c r="F8" s="2" t="s">
        <v>45</v>
      </c>
      <c r="G8" s="5" t="s">
        <v>45</v>
      </c>
      <c r="H8" s="15" t="s">
        <v>54</v>
      </c>
      <c r="I8" s="18" t="s">
        <v>69</v>
      </c>
      <c r="J8" s="13">
        <v>450</v>
      </c>
      <c r="K8" s="4" t="s">
        <v>45</v>
      </c>
      <c r="L8" s="2" t="s">
        <v>45</v>
      </c>
      <c r="M8" s="3" t="s">
        <v>64</v>
      </c>
      <c r="N8" s="6">
        <v>3940</v>
      </c>
      <c r="O8" s="19">
        <v>0.61899999999999999</v>
      </c>
      <c r="P8" s="22">
        <v>0.997</v>
      </c>
      <c r="Q8" s="19">
        <v>0.49099999999999999</v>
      </c>
      <c r="R8" s="18">
        <v>450</v>
      </c>
      <c r="S8" s="23"/>
    </row>
    <row r="9" spans="1:19" x14ac:dyDescent="0.3">
      <c r="A9">
        <v>5</v>
      </c>
      <c r="B9" s="32">
        <v>5</v>
      </c>
      <c r="C9" s="32">
        <v>13</v>
      </c>
      <c r="D9" s="33" t="s">
        <v>14</v>
      </c>
      <c r="E9" s="32"/>
      <c r="F9" s="32" t="s">
        <v>45</v>
      </c>
      <c r="G9" s="34" t="s">
        <v>45</v>
      </c>
      <c r="H9" s="35" t="s">
        <v>55</v>
      </c>
      <c r="I9" s="36" t="s">
        <v>56</v>
      </c>
      <c r="J9" s="37">
        <v>600</v>
      </c>
      <c r="K9" s="38" t="s">
        <v>57</v>
      </c>
      <c r="L9" s="32"/>
      <c r="M9" s="39">
        <v>6342.39</v>
      </c>
      <c r="N9" s="40">
        <v>7960</v>
      </c>
      <c r="O9" s="41">
        <v>0.52700000000000002</v>
      </c>
      <c r="P9" s="41">
        <v>0.83</v>
      </c>
      <c r="Q9" s="41">
        <v>0.96</v>
      </c>
      <c r="R9" s="42">
        <v>300</v>
      </c>
      <c r="S9" s="43"/>
    </row>
    <row r="10" spans="1:19" x14ac:dyDescent="0.3">
      <c r="A10">
        <v>6</v>
      </c>
      <c r="B10" s="2">
        <v>6</v>
      </c>
      <c r="C10" s="2"/>
      <c r="D10" s="2" t="s">
        <v>15</v>
      </c>
      <c r="E10" s="2"/>
      <c r="F10" s="2" t="s">
        <v>45</v>
      </c>
      <c r="G10" s="5" t="s">
        <v>45</v>
      </c>
      <c r="H10" s="15" t="s">
        <v>58</v>
      </c>
      <c r="I10" s="18" t="s">
        <v>68</v>
      </c>
      <c r="J10" s="13">
        <v>450</v>
      </c>
      <c r="K10" s="4" t="s">
        <v>45</v>
      </c>
      <c r="L10" s="2" t="s">
        <v>45</v>
      </c>
      <c r="M10" s="3">
        <v>5546.59</v>
      </c>
      <c r="N10" s="6">
        <v>3850</v>
      </c>
      <c r="O10" s="19">
        <v>0.34</v>
      </c>
      <c r="P10" s="19">
        <v>0.44400000000000001</v>
      </c>
      <c r="Q10" s="19">
        <v>0.85399999999999998</v>
      </c>
      <c r="R10" s="18">
        <v>600</v>
      </c>
      <c r="S10" s="6" t="s">
        <v>67</v>
      </c>
    </row>
    <row r="11" spans="1:19" x14ac:dyDescent="0.3">
      <c r="A11">
        <v>1</v>
      </c>
      <c r="B11" s="32">
        <v>7</v>
      </c>
      <c r="C11" s="32">
        <v>2</v>
      </c>
      <c r="D11" s="33" t="s">
        <v>16</v>
      </c>
      <c r="E11" s="32"/>
      <c r="F11" s="32" t="s">
        <v>59</v>
      </c>
      <c r="G11" s="34" t="s">
        <v>59</v>
      </c>
      <c r="H11" s="35" t="s">
        <v>46</v>
      </c>
      <c r="I11" s="36" t="s">
        <v>36</v>
      </c>
      <c r="J11" s="37">
        <v>450</v>
      </c>
      <c r="K11" s="38" t="s">
        <v>59</v>
      </c>
      <c r="L11" s="32" t="s">
        <v>59</v>
      </c>
      <c r="M11" s="39">
        <v>5711.91</v>
      </c>
      <c r="N11" s="40">
        <v>6110</v>
      </c>
      <c r="O11" s="45">
        <v>0.997</v>
      </c>
      <c r="P11" s="41">
        <v>0.84</v>
      </c>
      <c r="Q11" s="41">
        <v>0.81899999999999995</v>
      </c>
      <c r="R11" s="42">
        <v>350</v>
      </c>
      <c r="S11" s="43"/>
    </row>
    <row r="12" spans="1:19" x14ac:dyDescent="0.3">
      <c r="A12">
        <v>2</v>
      </c>
      <c r="B12" s="2">
        <v>8</v>
      </c>
      <c r="C12" s="2"/>
      <c r="D12" s="2" t="s">
        <v>17</v>
      </c>
      <c r="E12" s="2"/>
      <c r="F12" s="2" t="s">
        <v>59</v>
      </c>
      <c r="G12" s="5" t="s">
        <v>59</v>
      </c>
      <c r="H12" s="15" t="s">
        <v>53</v>
      </c>
      <c r="I12" s="21" t="s">
        <v>36</v>
      </c>
      <c r="J12" s="13">
        <v>600</v>
      </c>
      <c r="K12" s="4" t="s">
        <v>59</v>
      </c>
      <c r="L12" s="2" t="s">
        <v>59</v>
      </c>
      <c r="M12" s="3">
        <v>4586.6899999999996</v>
      </c>
      <c r="N12" s="6">
        <v>4500</v>
      </c>
      <c r="O12" s="19">
        <v>0.996</v>
      </c>
      <c r="P12" s="19">
        <v>0.67400000000000004</v>
      </c>
      <c r="Q12" s="19">
        <v>0.6</v>
      </c>
      <c r="R12" s="18">
        <v>450</v>
      </c>
      <c r="S12" s="23"/>
    </row>
    <row r="13" spans="1:19" x14ac:dyDescent="0.3">
      <c r="B13" s="2">
        <v>9</v>
      </c>
      <c r="C13" s="25">
        <v>9</v>
      </c>
      <c r="D13" s="28" t="s">
        <v>18</v>
      </c>
      <c r="E13" s="2"/>
      <c r="F13" s="2" t="s">
        <v>59</v>
      </c>
      <c r="G13" s="5" t="s">
        <v>59</v>
      </c>
      <c r="H13" s="15" t="s">
        <v>53</v>
      </c>
      <c r="I13" s="21" t="s">
        <v>36</v>
      </c>
      <c r="J13" s="13">
        <v>600</v>
      </c>
      <c r="K13" s="4" t="s">
        <v>59</v>
      </c>
      <c r="L13" s="2" t="s">
        <v>59</v>
      </c>
      <c r="M13" s="3">
        <v>4586.6899999999996</v>
      </c>
      <c r="N13" s="6">
        <f>N12</f>
        <v>4500</v>
      </c>
      <c r="O13" s="22">
        <f>O12</f>
        <v>0.996</v>
      </c>
      <c r="P13" s="19">
        <f>P12</f>
        <v>0.67400000000000004</v>
      </c>
      <c r="Q13" s="19">
        <f>Q12</f>
        <v>0.6</v>
      </c>
      <c r="R13" s="18">
        <f>R12</f>
        <v>450</v>
      </c>
      <c r="S13" s="6"/>
    </row>
    <row r="14" spans="1:19" x14ac:dyDescent="0.3">
      <c r="A14">
        <v>7</v>
      </c>
      <c r="B14" s="2">
        <v>10</v>
      </c>
      <c r="C14" s="2"/>
      <c r="D14" s="2" t="s">
        <v>19</v>
      </c>
      <c r="E14" s="2"/>
      <c r="F14" s="2" t="s">
        <v>59</v>
      </c>
      <c r="G14" s="5" t="s">
        <v>59</v>
      </c>
      <c r="H14" s="15" t="s">
        <v>39</v>
      </c>
      <c r="I14" s="21" t="s">
        <v>36</v>
      </c>
      <c r="J14" s="13">
        <v>450</v>
      </c>
      <c r="K14" s="4" t="s">
        <v>59</v>
      </c>
      <c r="L14" s="2" t="s">
        <v>59</v>
      </c>
      <c r="M14" s="3" t="s">
        <v>64</v>
      </c>
      <c r="N14" s="20">
        <v>3150</v>
      </c>
      <c r="O14" s="19">
        <v>0.98199999999999998</v>
      </c>
      <c r="P14" s="19">
        <v>0.65300000000000002</v>
      </c>
      <c r="Q14" s="19">
        <v>0.61299999999999999</v>
      </c>
      <c r="R14" s="18">
        <v>850</v>
      </c>
      <c r="S14" s="6" t="s">
        <v>70</v>
      </c>
    </row>
    <row r="15" spans="1:19" x14ac:dyDescent="0.3">
      <c r="A15">
        <v>1</v>
      </c>
      <c r="B15" s="2">
        <v>11</v>
      </c>
      <c r="C15" s="25">
        <v>3</v>
      </c>
      <c r="D15" s="28" t="s">
        <v>20</v>
      </c>
      <c r="E15" s="2"/>
      <c r="F15" s="2" t="s">
        <v>40</v>
      </c>
      <c r="G15" s="5" t="s">
        <v>40</v>
      </c>
      <c r="H15" s="15" t="s">
        <v>46</v>
      </c>
      <c r="I15" s="21" t="s">
        <v>36</v>
      </c>
      <c r="J15" s="13">
        <v>450</v>
      </c>
      <c r="K15" s="4" t="s">
        <v>40</v>
      </c>
      <c r="L15" s="2" t="s">
        <v>40</v>
      </c>
      <c r="M15" s="3">
        <v>6269.46</v>
      </c>
      <c r="N15" s="30">
        <v>6260</v>
      </c>
      <c r="O15" s="19">
        <v>0.95299999999999996</v>
      </c>
      <c r="P15" s="19">
        <v>0.70499999999999996</v>
      </c>
      <c r="Q15" s="19">
        <v>0.94399999999999995</v>
      </c>
      <c r="R15" s="18">
        <v>300</v>
      </c>
      <c r="S15" s="24"/>
    </row>
    <row r="16" spans="1:19" x14ac:dyDescent="0.3">
      <c r="A16">
        <v>2</v>
      </c>
      <c r="B16" s="2">
        <v>12</v>
      </c>
      <c r="C16" s="2"/>
      <c r="D16" s="2" t="s">
        <v>21</v>
      </c>
      <c r="E16" s="2"/>
      <c r="F16" s="2" t="s">
        <v>40</v>
      </c>
      <c r="G16" s="5" t="s">
        <v>40</v>
      </c>
      <c r="H16" s="15" t="s">
        <v>53</v>
      </c>
      <c r="I16" s="21" t="s">
        <v>36</v>
      </c>
      <c r="J16" s="13">
        <v>600</v>
      </c>
      <c r="K16" s="4" t="s">
        <v>40</v>
      </c>
      <c r="L16" s="2" t="s">
        <v>40</v>
      </c>
      <c r="M16" s="3">
        <v>4956.6099999999997</v>
      </c>
      <c r="N16" s="6">
        <v>4630</v>
      </c>
      <c r="O16" s="19">
        <v>0.998</v>
      </c>
      <c r="P16" s="19">
        <v>0.59499999999999997</v>
      </c>
      <c r="Q16" s="19">
        <v>0.69599999999999995</v>
      </c>
      <c r="R16" s="18">
        <v>400</v>
      </c>
      <c r="S16" s="27"/>
    </row>
    <row r="17" spans="1:19" x14ac:dyDescent="0.3">
      <c r="B17" s="2">
        <v>13</v>
      </c>
      <c r="C17" s="25">
        <v>6</v>
      </c>
      <c r="D17" s="28" t="s">
        <v>22</v>
      </c>
      <c r="E17" s="2"/>
      <c r="F17" s="2" t="s">
        <v>40</v>
      </c>
      <c r="G17" s="5" t="s">
        <v>40</v>
      </c>
      <c r="H17" s="15" t="s">
        <v>46</v>
      </c>
      <c r="I17" s="21" t="s">
        <v>36</v>
      </c>
      <c r="J17" s="13">
        <v>450</v>
      </c>
      <c r="K17" s="4" t="s">
        <v>40</v>
      </c>
      <c r="L17" s="2" t="s">
        <v>40</v>
      </c>
      <c r="M17" s="3">
        <v>6269.46</v>
      </c>
      <c r="N17" s="6">
        <f t="shared" ref="N17:R18" si="0">N15</f>
        <v>6260</v>
      </c>
      <c r="O17" s="31">
        <f t="shared" si="0"/>
        <v>0.95299999999999996</v>
      </c>
      <c r="P17" s="18">
        <f t="shared" si="0"/>
        <v>0.70499999999999996</v>
      </c>
      <c r="Q17" s="18">
        <f t="shared" si="0"/>
        <v>0.94399999999999995</v>
      </c>
      <c r="R17" s="18">
        <f t="shared" si="0"/>
        <v>300</v>
      </c>
      <c r="S17" s="17"/>
    </row>
    <row r="18" spans="1:19" x14ac:dyDescent="0.3">
      <c r="B18" s="2">
        <v>14</v>
      </c>
      <c r="C18" s="2"/>
      <c r="D18" s="2" t="s">
        <v>23</v>
      </c>
      <c r="E18" s="2"/>
      <c r="F18" s="2" t="s">
        <v>40</v>
      </c>
      <c r="G18" s="5" t="s">
        <v>40</v>
      </c>
      <c r="H18" s="15" t="s">
        <v>53</v>
      </c>
      <c r="I18" s="21" t="s">
        <v>36</v>
      </c>
      <c r="J18" s="13">
        <v>600</v>
      </c>
      <c r="K18" s="4" t="s">
        <v>40</v>
      </c>
      <c r="L18" s="2" t="s">
        <v>40</v>
      </c>
      <c r="M18" s="3">
        <v>4956.6099999999997</v>
      </c>
      <c r="N18" s="6">
        <f t="shared" si="0"/>
        <v>4630</v>
      </c>
      <c r="O18" s="18">
        <f t="shared" si="0"/>
        <v>0.998</v>
      </c>
      <c r="P18" s="18">
        <f t="shared" si="0"/>
        <v>0.59499999999999997</v>
      </c>
      <c r="Q18" s="18">
        <f t="shared" si="0"/>
        <v>0.69599999999999995</v>
      </c>
      <c r="R18" s="18">
        <f t="shared" si="0"/>
        <v>400</v>
      </c>
      <c r="S18" s="17"/>
    </row>
    <row r="19" spans="1:19" x14ac:dyDescent="0.3">
      <c r="A19">
        <v>7</v>
      </c>
      <c r="B19" s="2">
        <v>15</v>
      </c>
      <c r="C19" s="2"/>
      <c r="D19" s="2" t="s">
        <v>24</v>
      </c>
      <c r="E19" s="2"/>
      <c r="F19" s="2" t="s">
        <v>40</v>
      </c>
      <c r="G19" s="5" t="s">
        <v>40</v>
      </c>
      <c r="H19" s="15" t="s">
        <v>39</v>
      </c>
      <c r="I19" s="21" t="s">
        <v>36</v>
      </c>
      <c r="J19" s="13">
        <v>450</v>
      </c>
      <c r="K19" s="4" t="s">
        <v>40</v>
      </c>
      <c r="L19" s="2" t="s">
        <v>40</v>
      </c>
      <c r="M19" s="3" t="s">
        <v>64</v>
      </c>
      <c r="N19" s="6">
        <v>3400</v>
      </c>
      <c r="O19" s="19">
        <v>0.995</v>
      </c>
      <c r="P19" s="19">
        <v>0.65500000000000003</v>
      </c>
      <c r="Q19" s="19">
        <v>0.69199999999999995</v>
      </c>
      <c r="R19" s="18">
        <v>750</v>
      </c>
      <c r="S19" s="6" t="s">
        <v>70</v>
      </c>
    </row>
    <row r="20" spans="1:19" x14ac:dyDescent="0.3">
      <c r="A20">
        <v>4</v>
      </c>
      <c r="B20" s="2">
        <v>16</v>
      </c>
      <c r="C20" s="2"/>
      <c r="D20" s="2" t="s">
        <v>25</v>
      </c>
      <c r="E20" s="2"/>
      <c r="F20" s="2" t="s">
        <v>40</v>
      </c>
      <c r="G20" s="5" t="s">
        <v>40</v>
      </c>
      <c r="H20" s="15" t="s">
        <v>54</v>
      </c>
      <c r="I20" s="18" t="s">
        <v>69</v>
      </c>
      <c r="J20" s="13">
        <v>450</v>
      </c>
      <c r="K20" s="4" t="s">
        <v>40</v>
      </c>
      <c r="L20" s="2" t="s">
        <v>40</v>
      </c>
      <c r="M20" s="3" t="s">
        <v>64</v>
      </c>
      <c r="N20" s="6">
        <v>5060</v>
      </c>
      <c r="O20" s="19">
        <v>0.94399999999999995</v>
      </c>
      <c r="P20" s="19">
        <v>0.996</v>
      </c>
      <c r="Q20" s="19">
        <v>0.73299999999999998</v>
      </c>
      <c r="R20" s="18">
        <v>450</v>
      </c>
      <c r="S20" s="23"/>
    </row>
    <row r="21" spans="1:19" x14ac:dyDescent="0.3">
      <c r="A21">
        <v>8</v>
      </c>
      <c r="B21" s="2">
        <v>17</v>
      </c>
      <c r="C21" s="25">
        <v>12</v>
      </c>
      <c r="D21" s="28" t="s">
        <v>26</v>
      </c>
      <c r="E21" s="2"/>
      <c r="F21" s="2" t="s">
        <v>40</v>
      </c>
      <c r="G21" s="5" t="s">
        <v>40</v>
      </c>
      <c r="H21" s="15" t="s">
        <v>60</v>
      </c>
      <c r="I21" s="21" t="s">
        <v>72</v>
      </c>
      <c r="J21" s="13">
        <v>450</v>
      </c>
      <c r="K21" s="4" t="s">
        <v>40</v>
      </c>
      <c r="L21" s="2" t="s">
        <v>40</v>
      </c>
      <c r="M21" s="3" t="s">
        <v>64</v>
      </c>
      <c r="N21" s="6">
        <v>6850</v>
      </c>
      <c r="O21" s="19">
        <v>0.83499999999999996</v>
      </c>
      <c r="P21" s="19">
        <v>0.67900000000000005</v>
      </c>
      <c r="Q21" s="22">
        <v>0.99099999999999999</v>
      </c>
      <c r="R21" s="18">
        <v>450</v>
      </c>
      <c r="S21" s="17"/>
    </row>
    <row r="22" spans="1:19" x14ac:dyDescent="0.3">
      <c r="A22">
        <v>6</v>
      </c>
      <c r="B22" s="2">
        <v>18</v>
      </c>
      <c r="C22" s="2"/>
      <c r="D22" s="2" t="s">
        <v>27</v>
      </c>
      <c r="E22" s="2"/>
      <c r="F22" s="2" t="s">
        <v>40</v>
      </c>
      <c r="G22" s="5" t="s">
        <v>40</v>
      </c>
      <c r="H22" s="15" t="s">
        <v>58</v>
      </c>
      <c r="I22" s="18" t="s">
        <v>68</v>
      </c>
      <c r="J22" s="13">
        <v>450</v>
      </c>
      <c r="K22" s="4" t="s">
        <v>40</v>
      </c>
      <c r="L22" s="2" t="s">
        <v>40</v>
      </c>
      <c r="M22" s="3">
        <v>6009.52</v>
      </c>
      <c r="N22" s="6">
        <v>3600</v>
      </c>
      <c r="O22" s="19">
        <v>0.22600000000000001</v>
      </c>
      <c r="P22" s="19">
        <v>0.193</v>
      </c>
      <c r="Q22" s="19">
        <v>0.92400000000000004</v>
      </c>
      <c r="R22" s="18">
        <v>550</v>
      </c>
      <c r="S22" s="6" t="s">
        <v>67</v>
      </c>
    </row>
    <row r="23" spans="1:19" x14ac:dyDescent="0.3">
      <c r="A23">
        <v>5</v>
      </c>
      <c r="B23" s="2">
        <v>19</v>
      </c>
      <c r="C23" s="25">
        <v>14</v>
      </c>
      <c r="D23" s="28" t="s">
        <v>28</v>
      </c>
      <c r="E23" s="2" t="s">
        <v>45</v>
      </c>
      <c r="F23" s="2" t="s">
        <v>45</v>
      </c>
      <c r="G23" s="5" t="s">
        <v>45</v>
      </c>
      <c r="H23" s="15" t="s">
        <v>55</v>
      </c>
      <c r="I23" s="21" t="s">
        <v>56</v>
      </c>
      <c r="J23" s="13">
        <v>600</v>
      </c>
      <c r="K23" s="4" t="s">
        <v>57</v>
      </c>
      <c r="L23" s="2"/>
      <c r="M23" s="3">
        <v>7279.77</v>
      </c>
      <c r="N23" s="6">
        <v>7180</v>
      </c>
      <c r="O23" s="19">
        <v>0.5</v>
      </c>
      <c r="P23" s="19">
        <v>0.45300000000000001</v>
      </c>
      <c r="Q23" s="19">
        <v>0.96199999999999997</v>
      </c>
      <c r="R23" s="31">
        <v>300</v>
      </c>
      <c r="S23" s="17"/>
    </row>
    <row r="24" spans="1:19" x14ac:dyDescent="0.3">
      <c r="A24">
        <v>5</v>
      </c>
      <c r="B24" s="2">
        <v>20</v>
      </c>
      <c r="C24" s="25">
        <v>15</v>
      </c>
      <c r="D24" s="28" t="s">
        <v>29</v>
      </c>
      <c r="E24" s="2" t="s">
        <v>59</v>
      </c>
      <c r="F24" s="2" t="s">
        <v>59</v>
      </c>
      <c r="G24" s="5" t="s">
        <v>59</v>
      </c>
      <c r="H24" s="15" t="s">
        <v>55</v>
      </c>
      <c r="I24" s="21" t="s">
        <v>56</v>
      </c>
      <c r="J24" s="13">
        <v>600</v>
      </c>
      <c r="K24" s="4" t="s">
        <v>57</v>
      </c>
      <c r="L24" s="2"/>
      <c r="M24" s="3">
        <v>7825.29</v>
      </c>
      <c r="N24" s="6">
        <v>7000</v>
      </c>
      <c r="O24" s="19">
        <v>0.48599999999999999</v>
      </c>
      <c r="P24" s="19">
        <v>0.33800000000000002</v>
      </c>
      <c r="Q24" s="19">
        <v>0.96</v>
      </c>
      <c r="R24" s="18">
        <v>300</v>
      </c>
      <c r="S24" s="17"/>
    </row>
    <row r="25" spans="1:19" x14ac:dyDescent="0.3">
      <c r="B25" s="2">
        <v>21</v>
      </c>
      <c r="C25" s="25">
        <v>16</v>
      </c>
      <c r="D25" s="28" t="s">
        <v>30</v>
      </c>
      <c r="E25" s="2" t="s">
        <v>37</v>
      </c>
      <c r="F25" s="2" t="s">
        <v>59</v>
      </c>
      <c r="G25" s="5" t="s">
        <v>59</v>
      </c>
      <c r="H25" s="15" t="s">
        <v>55</v>
      </c>
      <c r="I25" s="21" t="s">
        <v>56</v>
      </c>
      <c r="J25" s="13">
        <v>600</v>
      </c>
      <c r="K25" s="4" t="s">
        <v>57</v>
      </c>
      <c r="L25" s="2"/>
      <c r="M25" s="3">
        <v>7825.29</v>
      </c>
      <c r="N25" s="6">
        <f>N24</f>
        <v>7000</v>
      </c>
      <c r="O25" s="19">
        <f>O24</f>
        <v>0.48599999999999999</v>
      </c>
      <c r="P25" s="19">
        <f>P24</f>
        <v>0.33800000000000002</v>
      </c>
      <c r="Q25" s="19">
        <f>Q24</f>
        <v>0.96</v>
      </c>
      <c r="R25" s="18">
        <f>R24</f>
        <v>300</v>
      </c>
      <c r="S25" s="17"/>
    </row>
    <row r="26" spans="1:19" x14ac:dyDescent="0.3">
      <c r="A26">
        <v>1</v>
      </c>
      <c r="B26" s="2">
        <v>22</v>
      </c>
      <c r="C26" s="25">
        <v>17</v>
      </c>
      <c r="D26" s="28" t="s">
        <v>31</v>
      </c>
      <c r="E26" s="2"/>
      <c r="F26" s="2" t="s">
        <v>61</v>
      </c>
      <c r="G26" s="5" t="s">
        <v>52</v>
      </c>
      <c r="H26" s="15" t="s">
        <v>46</v>
      </c>
      <c r="I26" s="21" t="s">
        <v>36</v>
      </c>
      <c r="J26" s="13">
        <v>450</v>
      </c>
      <c r="K26" s="4" t="s">
        <v>52</v>
      </c>
      <c r="L26" s="2" t="s">
        <v>61</v>
      </c>
      <c r="M26" s="3" t="s">
        <v>64</v>
      </c>
      <c r="N26" s="6">
        <v>4530</v>
      </c>
      <c r="O26" s="19">
        <v>0.83099999999999996</v>
      </c>
      <c r="P26" s="46">
        <v>0.997</v>
      </c>
      <c r="Q26" s="19">
        <v>0.47699999999999998</v>
      </c>
      <c r="R26" s="18">
        <v>550</v>
      </c>
      <c r="S26" s="2"/>
    </row>
    <row r="27" spans="1:19" x14ac:dyDescent="0.3">
      <c r="A27">
        <v>1</v>
      </c>
      <c r="B27" s="2">
        <v>23</v>
      </c>
      <c r="C27" s="25">
        <v>18</v>
      </c>
      <c r="D27" s="28" t="s">
        <v>32</v>
      </c>
      <c r="E27" s="2"/>
      <c r="F27" s="2" t="s">
        <v>37</v>
      </c>
      <c r="G27" s="5" t="s">
        <v>52</v>
      </c>
      <c r="H27" s="15" t="s">
        <v>46</v>
      </c>
      <c r="I27" s="21" t="s">
        <v>36</v>
      </c>
      <c r="J27" s="13">
        <v>450</v>
      </c>
      <c r="K27" s="4" t="s">
        <v>52</v>
      </c>
      <c r="L27" s="2" t="s">
        <v>52</v>
      </c>
      <c r="M27" s="3" t="s">
        <v>64</v>
      </c>
      <c r="N27" s="6">
        <v>4670</v>
      </c>
      <c r="O27" s="19">
        <v>0.84699999999999998</v>
      </c>
      <c r="P27" s="46">
        <v>0.995</v>
      </c>
      <c r="Q27" s="19">
        <v>0.47699999999999998</v>
      </c>
      <c r="R27" s="18">
        <v>500</v>
      </c>
      <c r="S27" s="25"/>
    </row>
    <row r="28" spans="1:19" x14ac:dyDescent="0.3">
      <c r="A28">
        <v>7</v>
      </c>
      <c r="B28" s="2">
        <v>24</v>
      </c>
      <c r="C28" s="2"/>
      <c r="D28" s="2" t="s">
        <v>38</v>
      </c>
      <c r="E28" s="2"/>
      <c r="F28" s="2" t="s">
        <v>37</v>
      </c>
      <c r="G28" s="5" t="s">
        <v>40</v>
      </c>
      <c r="H28" s="15" t="s">
        <v>39</v>
      </c>
      <c r="I28" s="21" t="s">
        <v>36</v>
      </c>
      <c r="J28" s="13">
        <v>450</v>
      </c>
      <c r="K28" s="4" t="s">
        <v>40</v>
      </c>
      <c r="L28" s="2" t="s">
        <v>37</v>
      </c>
      <c r="M28" s="3" t="s">
        <v>64</v>
      </c>
      <c r="N28" s="6">
        <v>3250</v>
      </c>
      <c r="O28" s="19">
        <v>0.99</v>
      </c>
      <c r="P28" s="19">
        <v>0.66100000000000003</v>
      </c>
      <c r="Q28" s="19">
        <v>0.64600000000000002</v>
      </c>
      <c r="R28" s="18">
        <v>800</v>
      </c>
      <c r="S28" s="6" t="s">
        <v>70</v>
      </c>
    </row>
    <row r="29" spans="1:19" x14ac:dyDescent="0.3">
      <c r="B29" s="2">
        <v>25</v>
      </c>
      <c r="C29" s="2"/>
      <c r="D29" s="2" t="s">
        <v>41</v>
      </c>
      <c r="E29" s="2"/>
      <c r="F29" s="2" t="s">
        <v>37</v>
      </c>
      <c r="G29" s="5" t="s">
        <v>40</v>
      </c>
      <c r="H29" s="15" t="s">
        <v>39</v>
      </c>
      <c r="I29" s="21" t="s">
        <v>36</v>
      </c>
      <c r="J29" s="13">
        <v>450</v>
      </c>
      <c r="K29" s="4" t="s">
        <v>40</v>
      </c>
      <c r="L29" s="2" t="s">
        <v>93</v>
      </c>
      <c r="M29" s="3" t="s">
        <v>64</v>
      </c>
      <c r="N29" s="6">
        <f t="shared" ref="N29:R30" si="1">N28</f>
        <v>3250</v>
      </c>
      <c r="O29" s="19">
        <f t="shared" si="1"/>
        <v>0.99</v>
      </c>
      <c r="P29" s="18">
        <f t="shared" si="1"/>
        <v>0.66100000000000003</v>
      </c>
      <c r="Q29" s="18">
        <f t="shared" si="1"/>
        <v>0.64600000000000002</v>
      </c>
      <c r="R29" s="18">
        <f t="shared" si="1"/>
        <v>800</v>
      </c>
      <c r="S29" s="6" t="s">
        <v>70</v>
      </c>
    </row>
    <row r="30" spans="1:19" x14ac:dyDescent="0.3">
      <c r="B30" s="2">
        <v>26</v>
      </c>
      <c r="C30" s="2"/>
      <c r="D30" s="2" t="s">
        <v>42</v>
      </c>
      <c r="E30" s="2"/>
      <c r="F30" s="2" t="s">
        <v>37</v>
      </c>
      <c r="G30" s="5" t="s">
        <v>40</v>
      </c>
      <c r="H30" s="15" t="s">
        <v>39</v>
      </c>
      <c r="I30" s="21" t="s">
        <v>36</v>
      </c>
      <c r="J30" s="13">
        <v>450</v>
      </c>
      <c r="K30" s="4" t="s">
        <v>40</v>
      </c>
      <c r="L30" s="2" t="s">
        <v>43</v>
      </c>
      <c r="M30" s="3" t="s">
        <v>64</v>
      </c>
      <c r="N30" s="6">
        <f t="shared" si="1"/>
        <v>3250</v>
      </c>
      <c r="O30" s="19">
        <f t="shared" si="1"/>
        <v>0.99</v>
      </c>
      <c r="P30" s="18">
        <f t="shared" si="1"/>
        <v>0.66100000000000003</v>
      </c>
      <c r="Q30" s="18">
        <f t="shared" si="1"/>
        <v>0.64600000000000002</v>
      </c>
      <c r="R30" s="18">
        <f t="shared" si="1"/>
        <v>800</v>
      </c>
      <c r="S30" s="6" t="s">
        <v>70</v>
      </c>
    </row>
    <row r="31" spans="1:19" x14ac:dyDescent="0.3">
      <c r="A31">
        <v>1</v>
      </c>
      <c r="B31" s="32">
        <v>27</v>
      </c>
      <c r="C31" s="32">
        <v>5</v>
      </c>
      <c r="D31" s="33" t="s">
        <v>44</v>
      </c>
      <c r="E31" s="32"/>
      <c r="F31" s="32" t="s">
        <v>45</v>
      </c>
      <c r="G31" s="34" t="s">
        <v>45</v>
      </c>
      <c r="H31" s="35" t="s">
        <v>46</v>
      </c>
      <c r="I31" s="36" t="s">
        <v>36</v>
      </c>
      <c r="J31" s="37">
        <v>600</v>
      </c>
      <c r="K31" s="38" t="s">
        <v>45</v>
      </c>
      <c r="L31" s="32" t="s">
        <v>45</v>
      </c>
      <c r="M31" s="39">
        <v>4410.46</v>
      </c>
      <c r="N31" s="44">
        <v>4910</v>
      </c>
      <c r="O31" s="45">
        <v>0.999</v>
      </c>
      <c r="P31" s="41">
        <v>0.93100000000000005</v>
      </c>
      <c r="Q31" s="41">
        <v>0.60299999999999998</v>
      </c>
      <c r="R31" s="42">
        <v>450</v>
      </c>
      <c r="S31" s="44"/>
    </row>
    <row r="32" spans="1:19" x14ac:dyDescent="0.3">
      <c r="A32">
        <v>7</v>
      </c>
      <c r="B32" s="2">
        <v>28</v>
      </c>
      <c r="C32" s="2"/>
      <c r="D32" s="2" t="s">
        <v>47</v>
      </c>
      <c r="E32" s="2"/>
      <c r="F32" s="2" t="s">
        <v>45</v>
      </c>
      <c r="G32" s="5" t="s">
        <v>45</v>
      </c>
      <c r="H32" s="15" t="s">
        <v>48</v>
      </c>
      <c r="I32" s="21" t="s">
        <v>36</v>
      </c>
      <c r="J32" s="13">
        <v>450</v>
      </c>
      <c r="K32" s="4" t="s">
        <v>45</v>
      </c>
      <c r="L32" s="2" t="s">
        <v>45</v>
      </c>
      <c r="M32" s="3" t="s">
        <v>64</v>
      </c>
      <c r="N32" s="6">
        <v>3300</v>
      </c>
      <c r="O32" s="19">
        <v>0.98399999999999999</v>
      </c>
      <c r="P32" s="19">
        <v>0.82099999999999995</v>
      </c>
      <c r="Q32" s="19">
        <v>0.61</v>
      </c>
      <c r="R32" s="18">
        <v>900</v>
      </c>
      <c r="S32" s="6" t="s">
        <v>70</v>
      </c>
    </row>
    <row r="33" spans="2:19" x14ac:dyDescent="0.3">
      <c r="B33" s="2">
        <v>29</v>
      </c>
      <c r="C33" s="25">
        <v>4</v>
      </c>
      <c r="D33" s="28" t="s">
        <v>49</v>
      </c>
      <c r="E33" s="2"/>
      <c r="F33" s="2" t="s">
        <v>40</v>
      </c>
      <c r="G33" s="5" t="s">
        <v>40</v>
      </c>
      <c r="H33" s="15" t="s">
        <v>46</v>
      </c>
      <c r="I33" s="21" t="s">
        <v>36</v>
      </c>
      <c r="J33" s="13">
        <v>450</v>
      </c>
      <c r="K33" s="4" t="s">
        <v>40</v>
      </c>
      <c r="L33" s="2" t="s">
        <v>40</v>
      </c>
      <c r="M33" s="3" t="s">
        <v>64</v>
      </c>
      <c r="N33" s="6">
        <f>N15</f>
        <v>6260</v>
      </c>
      <c r="O33" s="19">
        <f>O15</f>
        <v>0.95299999999999996</v>
      </c>
      <c r="P33" s="19">
        <f>P15</f>
        <v>0.70499999999999996</v>
      </c>
      <c r="Q33" s="19">
        <f>Q15</f>
        <v>0.94399999999999995</v>
      </c>
      <c r="R33" s="18">
        <f>R15</f>
        <v>300</v>
      </c>
      <c r="S33" s="2"/>
    </row>
    <row r="34" spans="2:19" x14ac:dyDescent="0.3">
      <c r="B34" s="2">
        <v>30</v>
      </c>
      <c r="C34" s="2"/>
      <c r="D34" s="2" t="s">
        <v>50</v>
      </c>
      <c r="E34" s="2"/>
      <c r="F34" s="2" t="s">
        <v>40</v>
      </c>
      <c r="G34" s="5" t="s">
        <v>40</v>
      </c>
      <c r="H34" s="15" t="s">
        <v>39</v>
      </c>
      <c r="I34" s="21" t="s">
        <v>36</v>
      </c>
      <c r="J34" s="13">
        <v>450</v>
      </c>
      <c r="K34" s="4" t="s">
        <v>40</v>
      </c>
      <c r="L34" s="2" t="s">
        <v>40</v>
      </c>
      <c r="M34" s="3" t="s">
        <v>64</v>
      </c>
      <c r="N34" s="6">
        <f>N19</f>
        <v>3400</v>
      </c>
      <c r="O34" s="19">
        <f>O19</f>
        <v>0.995</v>
      </c>
      <c r="P34" s="19">
        <f>P19</f>
        <v>0.65500000000000003</v>
      </c>
      <c r="Q34" s="19">
        <f>Q19</f>
        <v>0.69199999999999995</v>
      </c>
      <c r="R34" s="18">
        <f>R19</f>
        <v>750</v>
      </c>
      <c r="S34" s="6" t="s">
        <v>70</v>
      </c>
    </row>
    <row r="35" spans="2:19" x14ac:dyDescent="0.3">
      <c r="B35" s="2">
        <v>31</v>
      </c>
      <c r="C35" s="25">
        <v>23</v>
      </c>
      <c r="D35" s="28" t="s">
        <v>51</v>
      </c>
      <c r="E35" s="2"/>
      <c r="F35" s="2" t="s">
        <v>89</v>
      </c>
      <c r="G35" s="5" t="s">
        <v>89</v>
      </c>
      <c r="H35" s="15" t="s">
        <v>46</v>
      </c>
      <c r="I35" s="18" t="s">
        <v>65</v>
      </c>
      <c r="J35" s="13">
        <v>450</v>
      </c>
      <c r="K35" s="4" t="s">
        <v>89</v>
      </c>
      <c r="L35" s="2" t="s">
        <v>89</v>
      </c>
      <c r="M35" s="3" t="s">
        <v>64</v>
      </c>
      <c r="N35" s="6">
        <v>6650</v>
      </c>
      <c r="O35" s="46">
        <v>0.99399999999999999</v>
      </c>
      <c r="P35" s="19">
        <v>0.98899999999999999</v>
      </c>
      <c r="Q35" s="19">
        <v>0.80900000000000005</v>
      </c>
      <c r="R35" s="18">
        <v>350</v>
      </c>
      <c r="S35" s="6" t="s">
        <v>70</v>
      </c>
    </row>
    <row r="36" spans="2:19" x14ac:dyDescent="0.3">
      <c r="B36" s="2" t="s">
        <v>73</v>
      </c>
      <c r="C36" s="25">
        <v>8</v>
      </c>
      <c r="D36" s="28" t="s">
        <v>12</v>
      </c>
      <c r="E36" s="2"/>
      <c r="F36" s="2" t="s">
        <v>45</v>
      </c>
      <c r="G36" s="5" t="s">
        <v>45</v>
      </c>
      <c r="H36" s="15" t="s">
        <v>46</v>
      </c>
      <c r="I36" s="21" t="s">
        <v>74</v>
      </c>
      <c r="J36" s="13">
        <v>450</v>
      </c>
      <c r="K36" s="4" t="s">
        <v>45</v>
      </c>
      <c r="L36" s="2" t="s">
        <v>45</v>
      </c>
      <c r="M36" s="3" t="s">
        <v>64</v>
      </c>
      <c r="N36" s="6">
        <v>5280</v>
      </c>
      <c r="O36" s="46">
        <v>0.998</v>
      </c>
      <c r="P36" s="19">
        <v>0.93200000000000005</v>
      </c>
      <c r="Q36" s="19">
        <v>0.66100000000000003</v>
      </c>
      <c r="R36" s="18">
        <v>400</v>
      </c>
      <c r="S36" s="6" t="s">
        <v>70</v>
      </c>
    </row>
    <row r="37" spans="2:19" x14ac:dyDescent="0.3">
      <c r="B37" s="2" t="s">
        <v>73</v>
      </c>
      <c r="C37" s="25">
        <v>10</v>
      </c>
      <c r="D37" s="28" t="s">
        <v>75</v>
      </c>
      <c r="E37" s="2"/>
      <c r="F37" s="2" t="s">
        <v>40</v>
      </c>
      <c r="G37" s="5" t="s">
        <v>40</v>
      </c>
      <c r="H37" s="15" t="s">
        <v>53</v>
      </c>
      <c r="I37" s="21" t="s">
        <v>36</v>
      </c>
      <c r="J37" s="13">
        <v>600</v>
      </c>
      <c r="K37" s="4" t="s">
        <v>40</v>
      </c>
      <c r="L37" s="2" t="s">
        <v>40</v>
      </c>
      <c r="M37" s="3" t="s">
        <v>64</v>
      </c>
      <c r="N37" s="6">
        <f>N18</f>
        <v>4630</v>
      </c>
      <c r="O37" s="46">
        <f>O18</f>
        <v>0.998</v>
      </c>
      <c r="P37" s="19">
        <f>P18</f>
        <v>0.59499999999999997</v>
      </c>
      <c r="Q37" s="19">
        <f>Q18</f>
        <v>0.69599999999999995</v>
      </c>
      <c r="R37" s="18">
        <f>R18</f>
        <v>400</v>
      </c>
      <c r="S37" s="6" t="s">
        <v>70</v>
      </c>
    </row>
    <row r="38" spans="2:19" x14ac:dyDescent="0.3">
      <c r="B38" s="2" t="s">
        <v>73</v>
      </c>
      <c r="C38" s="25">
        <v>11</v>
      </c>
      <c r="D38" s="28" t="s">
        <v>75</v>
      </c>
      <c r="E38" s="2"/>
      <c r="F38" s="2" t="s">
        <v>40</v>
      </c>
      <c r="G38" s="5" t="s">
        <v>40</v>
      </c>
      <c r="H38" s="15" t="s">
        <v>53</v>
      </c>
      <c r="I38" s="21" t="s">
        <v>76</v>
      </c>
      <c r="J38" s="13">
        <v>600</v>
      </c>
      <c r="K38" s="4" t="s">
        <v>40</v>
      </c>
      <c r="L38" s="2" t="s">
        <v>40</v>
      </c>
      <c r="M38" s="3" t="s">
        <v>64</v>
      </c>
      <c r="N38" s="6">
        <v>6360</v>
      </c>
      <c r="O38" s="19">
        <v>0.69899999999999995</v>
      </c>
      <c r="P38" s="19">
        <v>0.42399999999999999</v>
      </c>
      <c r="Q38" s="19">
        <v>0.98699999999999999</v>
      </c>
      <c r="R38" s="18">
        <v>300</v>
      </c>
      <c r="S38" s="25"/>
    </row>
    <row r="39" spans="2:19" x14ac:dyDescent="0.3">
      <c r="B39" s="2" t="s">
        <v>73</v>
      </c>
      <c r="C39" s="25">
        <v>19</v>
      </c>
      <c r="D39" s="28" t="s">
        <v>77</v>
      </c>
      <c r="E39" s="2"/>
      <c r="F39" s="2" t="s">
        <v>59</v>
      </c>
      <c r="G39" s="5" t="s">
        <v>59</v>
      </c>
      <c r="H39" s="15" t="s">
        <v>58</v>
      </c>
      <c r="I39" s="18" t="s">
        <v>68</v>
      </c>
      <c r="J39" s="13">
        <v>450</v>
      </c>
      <c r="K39" s="4" t="s">
        <v>59</v>
      </c>
      <c r="L39" s="2" t="s">
        <v>59</v>
      </c>
      <c r="M39" s="3" t="s">
        <v>64</v>
      </c>
      <c r="N39" s="6">
        <v>4140</v>
      </c>
      <c r="O39" s="19">
        <v>0.35599999999999998</v>
      </c>
      <c r="P39" s="19">
        <v>0.33700000000000002</v>
      </c>
      <c r="Q39" s="46">
        <v>0.997</v>
      </c>
      <c r="R39" s="18">
        <v>500</v>
      </c>
      <c r="S39" s="23" t="s">
        <v>92</v>
      </c>
    </row>
    <row r="40" spans="2:19" x14ac:dyDescent="0.3">
      <c r="B40" s="2" t="s">
        <v>73</v>
      </c>
      <c r="C40" s="25">
        <v>21</v>
      </c>
      <c r="D40" s="28" t="s">
        <v>78</v>
      </c>
      <c r="E40" s="2"/>
      <c r="F40" s="2" t="s">
        <v>40</v>
      </c>
      <c r="G40" s="5" t="s">
        <v>40</v>
      </c>
      <c r="H40" s="15" t="s">
        <v>54</v>
      </c>
      <c r="I40" s="18" t="s">
        <v>69</v>
      </c>
      <c r="J40" s="13">
        <v>450</v>
      </c>
      <c r="K40" s="4" t="s">
        <v>40</v>
      </c>
      <c r="L40" s="2" t="s">
        <v>40</v>
      </c>
      <c r="M40" s="3" t="s">
        <v>64</v>
      </c>
      <c r="N40" s="6">
        <v>4990</v>
      </c>
      <c r="O40" s="46">
        <v>0.995</v>
      </c>
      <c r="P40" s="19">
        <v>0.95499999999999996</v>
      </c>
      <c r="Q40" s="19">
        <v>0.76100000000000001</v>
      </c>
      <c r="R40" s="18">
        <v>350</v>
      </c>
      <c r="S40" s="6" t="s">
        <v>70</v>
      </c>
    </row>
    <row r="41" spans="2:19" x14ac:dyDescent="0.3">
      <c r="B41" s="2" t="s">
        <v>73</v>
      </c>
      <c r="C41" s="25">
        <v>22</v>
      </c>
      <c r="D41" s="28" t="s">
        <v>78</v>
      </c>
      <c r="E41" s="2"/>
      <c r="F41" s="2" t="s">
        <v>40</v>
      </c>
      <c r="G41" s="5" t="s">
        <v>40</v>
      </c>
      <c r="H41" s="15" t="s">
        <v>54</v>
      </c>
      <c r="I41" s="18" t="s">
        <v>79</v>
      </c>
      <c r="J41" s="13">
        <v>450</v>
      </c>
      <c r="K41" s="4" t="s">
        <v>40</v>
      </c>
      <c r="L41" s="2" t="s">
        <v>40</v>
      </c>
      <c r="M41" s="3" t="s">
        <v>64</v>
      </c>
      <c r="N41" s="6">
        <v>6350</v>
      </c>
      <c r="O41" s="19">
        <v>0.996</v>
      </c>
      <c r="P41" s="19">
        <v>0.92400000000000004</v>
      </c>
      <c r="Q41" s="19">
        <v>0.98199999999999998</v>
      </c>
      <c r="R41" s="18">
        <v>300</v>
      </c>
      <c r="S41" s="23"/>
    </row>
    <row r="42" spans="2:19" x14ac:dyDescent="0.3">
      <c r="B42" s="2" t="s">
        <v>73</v>
      </c>
      <c r="C42" s="25">
        <v>24</v>
      </c>
      <c r="D42" s="28" t="s">
        <v>80</v>
      </c>
      <c r="E42" s="2"/>
      <c r="F42" s="2" t="s">
        <v>91</v>
      </c>
      <c r="G42" s="5" t="s">
        <v>45</v>
      </c>
      <c r="H42" s="15" t="s">
        <v>46</v>
      </c>
      <c r="I42" s="21" t="s">
        <v>36</v>
      </c>
      <c r="J42" s="13">
        <v>450</v>
      </c>
      <c r="K42" s="4" t="s">
        <v>45</v>
      </c>
      <c r="L42" s="2" t="s">
        <v>91</v>
      </c>
      <c r="M42" s="3" t="s">
        <v>64</v>
      </c>
      <c r="N42" s="6">
        <v>5530</v>
      </c>
      <c r="O42" s="46">
        <v>0.998</v>
      </c>
      <c r="P42" s="19">
        <v>0.4</v>
      </c>
      <c r="Q42" s="19">
        <v>0.625</v>
      </c>
      <c r="R42" s="18">
        <v>450</v>
      </c>
      <c r="S42" s="6" t="s">
        <v>70</v>
      </c>
    </row>
    <row r="43" spans="2:19" x14ac:dyDescent="0.3">
      <c r="B43" s="2" t="s">
        <v>73</v>
      </c>
      <c r="C43" s="25">
        <v>25</v>
      </c>
      <c r="D43" s="28" t="s">
        <v>81</v>
      </c>
      <c r="E43" s="2" t="s">
        <v>91</v>
      </c>
      <c r="F43" s="2" t="s">
        <v>45</v>
      </c>
      <c r="G43" s="5" t="s">
        <v>45</v>
      </c>
      <c r="H43" s="15" t="s">
        <v>55</v>
      </c>
      <c r="I43" s="21" t="s">
        <v>56</v>
      </c>
      <c r="J43" s="13">
        <v>600</v>
      </c>
      <c r="K43" s="4" t="s">
        <v>57</v>
      </c>
      <c r="L43" s="2"/>
      <c r="M43" s="3" t="s">
        <v>64</v>
      </c>
      <c r="N43" s="6">
        <v>7330</v>
      </c>
      <c r="O43" s="19">
        <v>0.53900000000000003</v>
      </c>
      <c r="P43" s="19">
        <v>0.38300000000000001</v>
      </c>
      <c r="Q43" s="19">
        <v>0.96</v>
      </c>
      <c r="R43" s="18">
        <v>300</v>
      </c>
      <c r="S43" s="25"/>
    </row>
    <row r="44" spans="2:19" x14ac:dyDescent="0.3">
      <c r="B44" s="2" t="s">
        <v>73</v>
      </c>
      <c r="C44" s="25">
        <v>26</v>
      </c>
      <c r="D44" s="28" t="s">
        <v>82</v>
      </c>
      <c r="E44" s="2"/>
      <c r="F44" s="2" t="s">
        <v>91</v>
      </c>
      <c r="G44" s="5" t="s">
        <v>59</v>
      </c>
      <c r="H44" s="15" t="s">
        <v>46</v>
      </c>
      <c r="I44" s="21" t="s">
        <v>36</v>
      </c>
      <c r="J44" s="13">
        <v>450</v>
      </c>
      <c r="K44" s="4" t="s">
        <v>59</v>
      </c>
      <c r="L44" s="2" t="s">
        <v>91</v>
      </c>
      <c r="M44" s="3" t="s">
        <v>64</v>
      </c>
      <c r="N44" s="6">
        <v>5240</v>
      </c>
      <c r="O44" s="46">
        <v>0.999</v>
      </c>
      <c r="P44" s="19">
        <v>0.35</v>
      </c>
      <c r="Q44" s="19">
        <v>0.61899999999999999</v>
      </c>
      <c r="R44" s="18">
        <v>450</v>
      </c>
      <c r="S44" s="6" t="s">
        <v>70</v>
      </c>
    </row>
    <row r="45" spans="2:19" x14ac:dyDescent="0.3">
      <c r="B45" s="2" t="s">
        <v>73</v>
      </c>
      <c r="C45" s="25">
        <v>27</v>
      </c>
      <c r="D45" s="28" t="s">
        <v>83</v>
      </c>
      <c r="E45" s="2"/>
      <c r="F45" s="2" t="s">
        <v>91</v>
      </c>
      <c r="G45" s="5" t="s">
        <v>59</v>
      </c>
      <c r="H45" s="15" t="s">
        <v>46</v>
      </c>
      <c r="I45" s="21" t="s">
        <v>36</v>
      </c>
      <c r="J45" s="13">
        <v>450</v>
      </c>
      <c r="K45" s="4" t="s">
        <v>59</v>
      </c>
      <c r="L45" s="2" t="s">
        <v>59</v>
      </c>
      <c r="M45" s="3" t="s">
        <v>64</v>
      </c>
      <c r="N45" s="6">
        <v>4370</v>
      </c>
      <c r="O45" s="46">
        <v>0.995</v>
      </c>
      <c r="P45" s="19">
        <v>0.37</v>
      </c>
      <c r="Q45" s="19">
        <v>0.55200000000000005</v>
      </c>
      <c r="R45" s="18">
        <v>500</v>
      </c>
      <c r="S45" s="6" t="s">
        <v>70</v>
      </c>
    </row>
    <row r="46" spans="2:19" x14ac:dyDescent="0.3">
      <c r="B46" s="2" t="s">
        <v>73</v>
      </c>
      <c r="C46" s="25">
        <v>28</v>
      </c>
      <c r="D46" s="28" t="s">
        <v>84</v>
      </c>
      <c r="E46" s="2"/>
      <c r="F46" s="2" t="s">
        <v>91</v>
      </c>
      <c r="G46" s="5" t="s">
        <v>40</v>
      </c>
      <c r="H46" s="15" t="s">
        <v>54</v>
      </c>
      <c r="I46" s="18" t="s">
        <v>69</v>
      </c>
      <c r="J46" s="13">
        <v>450</v>
      </c>
      <c r="K46" s="4" t="s">
        <v>40</v>
      </c>
      <c r="L46" s="2" t="s">
        <v>91</v>
      </c>
      <c r="M46" s="3" t="s">
        <v>64</v>
      </c>
      <c r="N46" s="6">
        <v>4830</v>
      </c>
      <c r="O46" s="46">
        <v>0.995</v>
      </c>
      <c r="P46" s="19">
        <v>0.33</v>
      </c>
      <c r="Q46" s="19">
        <v>0.61699999999999999</v>
      </c>
      <c r="R46" s="18">
        <v>450</v>
      </c>
      <c r="S46" s="6" t="s">
        <v>70</v>
      </c>
    </row>
    <row r="47" spans="2:19" x14ac:dyDescent="0.3">
      <c r="B47" s="2" t="s">
        <v>73</v>
      </c>
      <c r="C47" s="2">
        <v>29</v>
      </c>
      <c r="D47" s="28" t="s">
        <v>85</v>
      </c>
      <c r="E47" s="2"/>
      <c r="F47" s="2" t="s">
        <v>91</v>
      </c>
      <c r="G47" s="5" t="s">
        <v>40</v>
      </c>
      <c r="H47" s="15" t="s">
        <v>54</v>
      </c>
      <c r="I47" s="18" t="s">
        <v>69</v>
      </c>
      <c r="J47" s="13">
        <v>450</v>
      </c>
      <c r="K47" s="4" t="s">
        <v>40</v>
      </c>
      <c r="L47" s="2" t="s">
        <v>40</v>
      </c>
      <c r="M47" s="3" t="s">
        <v>64</v>
      </c>
      <c r="N47" s="6">
        <v>4190</v>
      </c>
      <c r="O47" s="46">
        <v>0.997</v>
      </c>
      <c r="P47" s="19">
        <v>0.42099999999999999</v>
      </c>
      <c r="Q47" s="19">
        <v>0.58699999999999997</v>
      </c>
      <c r="R47" s="18">
        <v>450</v>
      </c>
      <c r="S47" s="6" t="s">
        <v>70</v>
      </c>
    </row>
    <row r="48" spans="2:19" x14ac:dyDescent="0.3">
      <c r="B48" s="2" t="s">
        <v>73</v>
      </c>
      <c r="C48" s="25">
        <v>30</v>
      </c>
      <c r="D48" s="28" t="s">
        <v>86</v>
      </c>
      <c r="E48" s="2" t="s">
        <v>91</v>
      </c>
      <c r="F48" s="2" t="s">
        <v>59</v>
      </c>
      <c r="G48" s="5" t="s">
        <v>59</v>
      </c>
      <c r="H48" s="15" t="s">
        <v>55</v>
      </c>
      <c r="I48" s="21" t="s">
        <v>56</v>
      </c>
      <c r="J48" s="13">
        <v>600</v>
      </c>
      <c r="K48" s="4" t="s">
        <v>57</v>
      </c>
      <c r="L48" s="2"/>
      <c r="M48" s="3" t="s">
        <v>64</v>
      </c>
      <c r="N48" s="6">
        <v>7050</v>
      </c>
      <c r="O48" s="19">
        <v>0.51900000000000002</v>
      </c>
      <c r="P48" s="19">
        <v>0.32</v>
      </c>
      <c r="Q48" s="19">
        <v>0.96199999999999997</v>
      </c>
      <c r="R48" s="18">
        <v>300</v>
      </c>
      <c r="S48" s="25"/>
    </row>
    <row r="49" spans="2:19" x14ac:dyDescent="0.3">
      <c r="B49" s="2" t="s">
        <v>73</v>
      </c>
      <c r="C49" s="25">
        <v>31</v>
      </c>
      <c r="D49" s="28" t="s">
        <v>90</v>
      </c>
      <c r="E49" s="2" t="s">
        <v>91</v>
      </c>
      <c r="F49" s="2" t="s">
        <v>59</v>
      </c>
      <c r="G49" s="5" t="s">
        <v>59</v>
      </c>
      <c r="H49" s="15" t="s">
        <v>55</v>
      </c>
      <c r="I49" s="21" t="s">
        <v>56</v>
      </c>
      <c r="J49" s="13">
        <v>600</v>
      </c>
      <c r="K49" s="4" t="s">
        <v>57</v>
      </c>
      <c r="L49" s="2"/>
      <c r="M49" s="3" t="s">
        <v>64</v>
      </c>
      <c r="N49" s="6">
        <v>7050</v>
      </c>
      <c r="O49" s="19">
        <v>0.51900000000000002</v>
      </c>
      <c r="P49" s="19">
        <v>0.32</v>
      </c>
      <c r="Q49" s="19">
        <v>0.96199999999999997</v>
      </c>
      <c r="R49" s="18">
        <v>300</v>
      </c>
      <c r="S49" s="25"/>
    </row>
    <row r="50" spans="2:19" x14ac:dyDescent="0.3">
      <c r="B50" s="2" t="s">
        <v>73</v>
      </c>
      <c r="C50" s="2">
        <v>32</v>
      </c>
      <c r="D50" s="28" t="s">
        <v>87</v>
      </c>
      <c r="E50" s="2"/>
      <c r="F50" s="2" t="s">
        <v>91</v>
      </c>
      <c r="G50" s="5" t="s">
        <v>45</v>
      </c>
      <c r="H50" s="15" t="s">
        <v>39</v>
      </c>
      <c r="I50" s="21" t="s">
        <v>36</v>
      </c>
      <c r="J50" s="13">
        <v>450</v>
      </c>
      <c r="K50" s="4" t="s">
        <v>45</v>
      </c>
      <c r="L50" s="2" t="s">
        <v>91</v>
      </c>
      <c r="M50" s="3" t="s">
        <v>64</v>
      </c>
      <c r="N50" s="6">
        <v>2510</v>
      </c>
      <c r="O50" s="46">
        <v>0.99399999999999999</v>
      </c>
      <c r="P50" s="19">
        <v>0.48199999999999998</v>
      </c>
      <c r="Q50" s="19">
        <v>0.439</v>
      </c>
      <c r="R50" s="18">
        <v>600</v>
      </c>
      <c r="S50" s="6" t="s">
        <v>70</v>
      </c>
    </row>
    <row r="51" spans="2:19" ht="17.25" thickBot="1" x14ac:dyDescent="0.35">
      <c r="B51" s="2" t="s">
        <v>73</v>
      </c>
      <c r="C51" s="2">
        <v>33</v>
      </c>
      <c r="D51" s="28" t="s">
        <v>88</v>
      </c>
      <c r="E51" s="2"/>
      <c r="F51" s="2" t="s">
        <v>91</v>
      </c>
      <c r="G51" s="5" t="s">
        <v>45</v>
      </c>
      <c r="H51" s="16" t="s">
        <v>39</v>
      </c>
      <c r="I51" s="29" t="s">
        <v>36</v>
      </c>
      <c r="J51" s="14">
        <v>450</v>
      </c>
      <c r="K51" s="4" t="s">
        <v>45</v>
      </c>
      <c r="L51" s="2" t="s">
        <v>45</v>
      </c>
      <c r="M51" s="3" t="s">
        <v>64</v>
      </c>
      <c r="N51" s="6">
        <v>2510</v>
      </c>
      <c r="O51" s="46">
        <v>0.99399999999999999</v>
      </c>
      <c r="P51" s="19">
        <v>0.48199999999999998</v>
      </c>
      <c r="Q51" s="19">
        <v>0.439</v>
      </c>
      <c r="R51" s="18">
        <v>600</v>
      </c>
      <c r="S51" s="6" t="s">
        <v>70</v>
      </c>
    </row>
  </sheetData>
  <autoFilter ref="A4:S4" xr:uid="{E7F00A48-3F87-46B6-BFF9-E2FB5AFBACE0}">
    <filterColumn colId="4" showButton="0"/>
    <filterColumn colId="5" showButton="0"/>
    <filterColumn colId="10" showButton="0"/>
  </autoFilter>
  <mergeCells count="3">
    <mergeCell ref="E4:G4"/>
    <mergeCell ref="K4:L4"/>
    <mergeCell ref="O3:Q3"/>
  </mergeCells>
  <phoneticPr fontId="2" type="noConversion"/>
  <conditionalFormatting sqref="N5:N51">
    <cfRule type="cellIs" dxfId="1" priority="2" operator="lessThan">
      <formula>3600</formula>
    </cfRule>
  </conditionalFormatting>
  <conditionalFormatting sqref="R5:R51">
    <cfRule type="cellIs" dxfId="0" priority="1" operator="lessThanOrEqual">
      <formula>300</formula>
    </cfRule>
  </conditionalFormatting>
  <pageMargins left="0.7" right="0.7" top="0.75" bottom="0.75" header="0.3" footer="0.3"/>
  <pageSetup paperSize="8" scale="74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정지훈</dc:creator>
  <cp:lastModifiedBy>지훈 정</cp:lastModifiedBy>
  <cp:lastPrinted>2021-04-13T11:25:27Z</cp:lastPrinted>
  <dcterms:created xsi:type="dcterms:W3CDTF">2019-10-15T10:22:01Z</dcterms:created>
  <dcterms:modified xsi:type="dcterms:W3CDTF">2026-06-07T04:35:58Z</dcterms:modified>
</cp:coreProperties>
</file>